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C2\Downloads\"/>
    </mc:Choice>
  </mc:AlternateContent>
  <xr:revisionPtr revIDLastSave="0" documentId="13_ncr:1_{4E7D69FF-B002-49A1-A147-D424916C7AEE}" xr6:coauthVersionLast="47" xr6:coauthVersionMax="47" xr10:uidLastSave="{00000000-0000-0000-0000-000000000000}"/>
  <bookViews>
    <workbookView xWindow="-28920" yWindow="-120" windowWidth="29040" windowHeight="15960" activeTab="1" xr2:uid="{00000000-000D-0000-FFFF-FFFF00000000}"/>
  </bookViews>
  <sheets>
    <sheet name="Release Plan" sheetId="1" r:id="rId1"/>
    <sheet name="Resumen Releas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2" l="1"/>
  <c r="E7" i="2"/>
  <c r="E6" i="2"/>
  <c r="E5" i="2"/>
  <c r="E4" i="2"/>
</calcChain>
</file>

<file path=xl/sharedStrings.xml><?xml version="1.0" encoding="utf-8"?>
<sst xmlns="http://schemas.openxmlformats.org/spreadsheetml/2006/main" count="174" uniqueCount="125">
  <si>
    <t>CITAJUSTA RELEASE PLAN</t>
  </si>
  <si>
    <t>Release</t>
  </si>
  <si>
    <t>Sprint</t>
  </si>
  <si>
    <t>Objetivo</t>
  </si>
  <si>
    <t>Entregable principal</t>
  </si>
  <si>
    <t>Estado actual</t>
  </si>
  <si>
    <t>Evidencia verificable</t>
  </si>
  <si>
    <t>Criterio de salida</t>
  </si>
  <si>
    <t>Pendiente clave</t>
  </si>
  <si>
    <t>Dependencias</t>
  </si>
  <si>
    <t>Observaciones</t>
  </si>
  <si>
    <t>R0.1</t>
  </si>
  <si>
    <t>Sprint 1</t>
  </si>
  <si>
    <t>Análisis, alcance y arquitectura</t>
  </si>
  <si>
    <t>Documento Base, Alcance, Requisitos, Arquitectura, Product Backlog e historias iniciales</t>
  </si>
  <si>
    <t>Completo</t>
  </si>
  <si>
    <t>Documento Base; Alcance v1.0; Requisitos Funcionales; Arquitectura de Software/APIs; Product Backlog consolidado</t>
  </si>
  <si>
    <t>Alcance y backlog priorizado disponibles como base del desarrollo</t>
  </si>
  <si>
    <t>Mantener trazabilidad y actualizar cambios de alcance</t>
  </si>
  <si>
    <t>Retroalimentación docente</t>
  </si>
  <si>
    <t>Base documental suficiente para continuar el desarrollo incremental.</t>
  </si>
  <si>
    <t>R0.2</t>
  </si>
  <si>
    <t>Sprint 2</t>
  </si>
  <si>
    <t>Configuración técnica</t>
  </si>
  <si>
    <t>Monorepo, backend base, PostgreSQL, Prisma, repositorio y README</t>
  </si>
  <si>
    <t>Parcial</t>
  </si>
  <si>
    <t>Monorepo npm; NestJS; PostgreSQL; Prisma; migraciones; README; GitHub público; apps/web creada con React/Vite/TypeScript/Tailwind, build validado e integración real con la API completada.</t>
  </si>
  <si>
    <t>Entorno reproducible y aplicaciones base creadas</t>
  </si>
  <si>
    <t>Crear apps/desktop y completar Docker/Docker Compose.</t>
  </si>
  <si>
    <t>Node/npm; PostgreSQL; Rust/Tauri para escritorio</t>
  </si>
  <si>
    <t>La fundación e integración web ya están disponibles. La configuración técnica sigue Parcial porque escritorio y contenedorización aún están pendientes.</t>
  </si>
  <si>
    <t>R0.3</t>
  </si>
  <si>
    <t>Sprint 3</t>
  </si>
  <si>
    <t>Seguridad y usuarios</t>
  </si>
  <si>
    <t>Auth, sesiones, JWT, RBAC, contexto institucional y validación</t>
  </si>
  <si>
    <t>Avance alto</t>
  </si>
  <si>
    <t>Registro/login/refresh/logout; Argon2id; sesiones; AccessTokenGuard; RBAC; contexto institucional; /users/me; restauración de sesión y protección de rutas en apps/web. La regresión backend actual mantiene 114/114 pruebas aprobadas.</t>
  </si>
  <si>
    <t>Flujo de acceso y autorización base operativo y documentado</t>
  </si>
  <si>
    <t>Swagger/OpenAPI; rate limiting; controles de seguridad finales</t>
  </si>
  <si>
    <t>Config/env; PostgreSQL; roles/permisos</t>
  </si>
  <si>
    <t>La seguridad base está implementada y ya es consumida por la aplicación web. Quedan documentación OpenAPI, controles finales de endurecimiento y pruebas específicas de seguridad/rendimiento.</t>
  </si>
  <si>
    <t>R0.4</t>
  </si>
  <si>
    <t>Sprint 4</t>
  </si>
  <si>
    <t>Agenda base</t>
  </si>
  <si>
    <t>Instituciones, sedes, servicios, profesionales y disponibilidad read-only</t>
  </si>
  <si>
    <t>Catálogo institucional, servicios, profesionales y disponibilidad read-only; 69/69 pruebas unitarias al cierre de Agenda Base; PostgreSQL real operativo; 7/7 migraciones aplicadas; checkpoint E2E 1/1 aprobado.</t>
  </si>
  <si>
    <t>Agenda Base cerrada con 8/8 tareas Done, catálogo/disponibilidad operativos y checkpoint E2E real aprobado.</t>
  </si>
  <si>
    <t>Mantener evidencia histórica del Sprint 4; Burndown reconstruido con evidencia Git/PR ya disponible.</t>
  </si>
  <si>
    <t>PostgreSQL activo; Prisma validado; fixtures E2E</t>
  </si>
  <si>
    <t>Sprint 4 cerrado técnicamente con 8/8 tareas. Checkpoint E2E real 1/1 y Burndown documentado con evidencia verificable. La regresión global posterior alcanza 114/114 backend.</t>
  </si>
  <si>
    <t>R0.5</t>
  </si>
  <si>
    <t>Sprint 5</t>
  </si>
  <si>
    <t>Citas y lista de espera</t>
  </si>
  <si>
    <t>Reserva, consulta y cancelación de citas; integración Web/API; lista de espera</t>
  </si>
  <si>
    <t>HU-004/005/006; Auth; AgendaSlot; catálogos; PostgreSQL; apps/web; cliente HTTP centralizado; PR #43.</t>
  </si>
  <si>
    <t>Criterios de interpretación del estado</t>
  </si>
  <si>
    <t>Entregable principal del Sprint disponible y verificable.</t>
  </si>
  <si>
    <t>Mayor parte del objetivo implementada; quedan cierres/evidencias.</t>
  </si>
  <si>
    <t>Parte relevante implementada, pero faltan componentes obligatorios.</t>
  </si>
  <si>
    <t>Pendiente</t>
  </si>
  <si>
    <t>Trabajo aún no iniciado funcionalmente.</t>
  </si>
  <si>
    <t>Nota</t>
  </si>
  <si>
    <t>Los estados no equivalen a porcentaje académico oficial.</t>
  </si>
  <si>
    <t>En progreso</t>
  </si>
  <si>
    <t>Sprint activo con entregables verificables ya completados y trabajo planificado aún pendiente.</t>
  </si>
  <si>
    <t>Indicador</t>
  </si>
  <si>
    <t>Valor</t>
  </si>
  <si>
    <t>Estado</t>
  </si>
  <si>
    <t>Cantidad</t>
  </si>
  <si>
    <t>Ruta de releases</t>
  </si>
  <si>
    <t>Análisis y arquitectura</t>
  </si>
  <si>
    <t>→</t>
  </si>
  <si>
    <t>Base del proyecto</t>
  </si>
  <si>
    <t>Web creada; desktop/Docker pendientes</t>
  </si>
  <si>
    <t>Auth / RBAC operativos</t>
  </si>
  <si>
    <t>8/8 tareas + E2E 1/1 + Burndown</t>
  </si>
  <si>
    <t>Citas y espera</t>
  </si>
  <si>
    <t>R1.0</t>
  </si>
  <si>
    <t>Cierre MVP</t>
  </si>
  <si>
    <t>Sprint 8</t>
  </si>
  <si>
    <t>Último avance incorporado</t>
  </si>
  <si>
    <t>Versión 1.7 · Fecha de corte: 22-09-2026 · Sprint 6 cerrado · HU-021 a HU-026 Done · MVP Web funcionalmente cerrado.</t>
  </si>
  <si>
    <t>HU-004/005/006 completadas; HU-007/008 backend implementadas; HU-021 Web de lista de espera/preferencias completada mediante PR #89. Validación: Web 56/56, development/seed 11/11 y Waitlist E2E 24/24.</t>
  </si>
  <si>
    <t>Flujo núcleo de citas y lista de espera disponible y validado de punta a punta en Web + API + PostgreSQL.</t>
  </si>
  <si>
    <t>Mantener evidencia histórica del Sprint 5 y continuar integración Web del motor de reasignación.</t>
  </si>
  <si>
    <t>Sprint 5 cerrado. HU-021 consolidó la experiencia Web de lista de espera y estabilizó el entorno local.</t>
  </si>
  <si>
    <t>R0.6</t>
  </si>
  <si>
    <t>Sprint 6</t>
  </si>
  <si>
    <t>Motor de reasignación y notificaciones internas</t>
  </si>
  <si>
    <t>Candidatos, ranking, ofertas, aceptación/rechazo, expiración automática, continuidad y centro de notificaciones</t>
  </si>
  <si>
    <t>HU-009/010/011/016/018 backend; HU-022 Web ofertas; HU-023 expiración automática (PR #96, merge 109b1c9); HU-024 notificaciones internas (PR #99, merge b1bff30). Validación automática y manual PASS.</t>
  </si>
  <si>
    <t>Motor de reasignación completo, expiración persistente, continuidad segura y notificaciones internas disponibles de punta a punta</t>
  </si>
  <si>
    <t>MVP Web cerrado mediante HU-025/HU-026; mantener evidencia y preparar Sprint 7 / Desktop.</t>
  </si>
  <si>
    <t>HU-009/010/011/016/018; apps/web; runner de expiración; Notification; PostgreSQL</t>
  </si>
  <si>
    <t>Sprint 6 cerrado. RF-029/RF-030/RF-034 quedan cubiertos. El backend continúa siendo fuente de verdad y las notificaciones externas permanecen fuera de alcance.</t>
  </si>
  <si>
    <t>R0.7</t>
  </si>
  <si>
    <t>Sprint 7</t>
  </si>
  <si>
    <t>Aplicación institucional, operación y reportes</t>
  </si>
  <si>
    <t>Fundación Tauri, agenda operativa, administración, asistencia, supervisión de reasignaciones, reportes y auditoría</t>
  </si>
  <si>
    <t>Backend HU-012/013/014/015/016/017/018/019/020 implementado. HU-025 y HU-026 completaron el cierre Web de transición (PR #105/#107). Interfaces institucionales y apps/desktop todavía pendientes.</t>
  </si>
  <si>
    <t>Aplicación de escritorio consume API y permite la operación institucional principal</t>
  </si>
  <si>
    <t>Crear apps/desktop con Tauri/React y conectar progresivamente las capacidades administrativas existentes.</t>
  </si>
  <si>
    <t>APIs institucionales, RBAC, contexto, agenda, reportes y auditoría</t>
  </si>
  <si>
    <t>El backend institucional ya existe y el MVP Web está cerrado. El siguiente trabajo se concentra en experiencia institucional Desktop, sin duplicar lógica de negocio.</t>
  </si>
  <si>
    <t>Cierre MVP y preparación de defensa</t>
  </si>
  <si>
    <t>Web + escritorio + backend + BD + Docker + pruebas + documentación + presentación</t>
  </si>
  <si>
    <t>GitHub público; backend HU-001 a HU-020; HU-021 a HU-026 completadas; Web MVP cerrado; expiración automática, inicio automático de reasignación y notificaciones internas operativas; entorno local reproducible.</t>
  </si>
  <si>
    <t>MVP end-to-end demostrable y entregables académicos completos</t>
  </si>
  <si>
    <t>Desktop institucional; integraciones externas seleccionadas; Docker; OpenAPI; seguridad/rendimiento; documentación y defensa.</t>
  </si>
  <si>
    <t>Cierre de Sprints anteriores</t>
  </si>
  <si>
    <t>Release académica final del proyecto.</t>
  </si>
  <si>
    <t>CITAJUSTA — RESUMEN DEL RELEASE PLAN — ACTUALIZADO 22-09-2026</t>
  </si>
  <si>
    <t>Releases planificados</t>
  </si>
  <si>
    <t>Completos</t>
  </si>
  <si>
    <t>Parciales</t>
  </si>
  <si>
    <t>Pendientes</t>
  </si>
  <si>
    <t>Fecha de corte</t>
  </si>
  <si>
    <t>22-09-2026</t>
  </si>
  <si>
    <t>HU-004–008 + HU-021 Web Done</t>
  </si>
  <si>
    <t>Reasignación + notificaciones</t>
  </si>
  <si>
    <t>HU-022/023/024 Done · HU-025/026 cierre Web post-S6 Done</t>
  </si>
  <si>
    <t>Aplicación institucional</t>
  </si>
  <si>
    <t>Web MVP cerrado · backend institucional Done · UI/Tauri pendiente</t>
  </si>
  <si>
    <t>Cierre final y entregables restantes</t>
  </si>
  <si>
    <t>Backend HU-001 a HU-020 completado. HU-021 a HU-024 cerraron waitlist, ofertas, expiración/continuidad y notificaciones. HU-025 agregó inicio automático de reasignación tras cancelación (PR #105, ea33e9f) y HU-026 agregó búsqueda por fecha específica/flexible (PR #107, ec427a4). El MVP Web queda funcionalmente cerrado. Próximo foco: Desktop/Tauri institucional.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</si>
</sst>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rgb="FF000000"/>
      <name val="Carlito"/>
    </font>
    <font>
      <b/>
      <sz val="16"/>
      <color rgb="FFFFFFFF"/>
      <name val="Carlito"/>
    </font>
    <font>
      <sz val="11"/>
      <color theme="1"/>
      <name val="Carlito"/>
    </font>
    <font>
      <sz val="11"/>
      <name val="Carlito"/>
    </font>
    <font>
      <b/>
      <sz val="11"/>
      <color theme="1"/>
      <name val="Carlito"/>
    </font>
    <font>
      <sz val="11"/>
      <color rgb="FF000000"/>
      <name val="Carlito"/>
    </font>
    <font>
      <b/>
      <sz val="11"/>
      <color rgb="FF000000"/>
      <name val="Carlito"/>
    </font>
    <font>
      <sz val="11"/>
      <color theme="1"/>
      <name val="Carlito"/>
    </font>
  </fonts>
  <fills count="8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F7F9FB"/>
      </patternFill>
    </fill>
    <fill>
      <patternFill patternType="solid">
        <fgColor rgb="FFB6D7A8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92D050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4" xfId="0" applyFont="1" applyBorder="1" applyAlignment="1">
      <alignment vertical="top" wrapText="1"/>
    </xf>
    <xf numFmtId="0" fontId="6" fillId="4" borderId="4" xfId="0" applyFont="1" applyFill="1" applyBorder="1" applyAlignment="1">
      <alignment wrapText="1"/>
    </xf>
    <xf numFmtId="0" fontId="7" fillId="0" borderId="4" xfId="0" applyFont="1" applyBorder="1" applyAlignment="1">
      <alignment wrapText="1"/>
    </xf>
    <xf numFmtId="0" fontId="0" fillId="0" borderId="4" xfId="0" applyBorder="1" applyAlignment="1">
      <alignment wrapText="1"/>
    </xf>
    <xf numFmtId="0" fontId="0" fillId="0" borderId="0" xfId="0" applyAlignment="1">
      <alignment wrapText="1"/>
    </xf>
    <xf numFmtId="0" fontId="2" fillId="0" borderId="6" xfId="0" applyFont="1" applyBorder="1" applyAlignment="1">
      <alignment vertical="top" wrapText="1"/>
    </xf>
    <xf numFmtId="0" fontId="0" fillId="0" borderId="6" xfId="0" applyBorder="1" applyAlignment="1">
      <alignment wrapText="1"/>
    </xf>
    <xf numFmtId="0" fontId="4" fillId="7" borderId="5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wrapText="1"/>
    </xf>
    <xf numFmtId="0" fontId="0" fillId="0" borderId="5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1" xfId="0" applyFont="1" applyFill="1" applyBorder="1" applyAlignment="1">
      <alignment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0" fontId="6" fillId="4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2" borderId="0" xfId="0" applyFont="1" applyFill="1" applyAlignment="1">
      <alignment horizontal="center"/>
    </xf>
    <xf numFmtId="0" fontId="6" fillId="5" borderId="1" xfId="0" applyFont="1" applyFill="1" applyBorder="1" applyAlignment="1">
      <alignment horizontal="center" wrapText="1"/>
    </xf>
    <xf numFmtId="0" fontId="6" fillId="6" borderId="5" xfId="0" applyFont="1" applyFill="1" applyBorder="1" applyAlignment="1">
      <alignment wrapText="1"/>
    </xf>
    <xf numFmtId="0" fontId="0" fillId="0" borderId="5" xfId="0" applyBorder="1" applyAlignment="1">
      <alignment vertical="top" wrapText="1"/>
    </xf>
  </cellXfs>
  <cellStyles count="1">
    <cellStyle name="Normal" xfId="0" builtinId="0"/>
  </cellStyles>
  <dxfs count="11">
    <dxf>
      <fill>
        <patternFill>
          <bgColor rgb="FFF2F2F2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0B4"/>
        </patternFill>
      </fill>
    </dxf>
    <dxf>
      <fill>
        <patternFill>
          <bgColor rgb="FFE2F0D9"/>
        </patternFill>
      </fill>
    </dxf>
    <dxf>
      <fill>
        <patternFill>
          <bgColor rgb="FFF2F2F2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0B4"/>
        </patternFill>
      </fill>
    </dxf>
    <dxf>
      <fill>
        <patternFill>
          <bgColor rgb="FFE2F0D9"/>
        </patternFill>
      </fill>
    </dxf>
    <dxf>
      <border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c:style val="2"/>
  <c:chart>
    <c:title>
      <c:tx>
        <c:rich>
          <a:bodyPr/>
          <a:lstStyle/>
          <a:p>
            <a:r>
              <a:rPr lang="es-CL"/>
              <a:t>Estado de releases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Cantidad</c:v>
          </c:tx>
          <c:invertIfNegative val="1"/>
          <c:cat>
            <c:strRef>
              <c:f>'Resumen Release'!$D$4:$D$8</c:f>
              <c:strCache>
                <c:ptCount val="5"/>
                <c:pt idx="0">
                  <c:v>Completo</c:v>
                </c:pt>
                <c:pt idx="1">
                  <c:v>Avance alto</c:v>
                </c:pt>
                <c:pt idx="2">
                  <c:v>En progreso</c:v>
                </c:pt>
                <c:pt idx="3">
                  <c:v>Parcial</c:v>
                </c:pt>
                <c:pt idx="4">
                  <c:v>Pendiente</c:v>
                </c:pt>
              </c:strCache>
            </c:strRef>
          </c:cat>
          <c:val>
            <c:numRef>
              <c:f>'Resumen Release'!$E$4:$E$8</c:f>
              <c:numCache>
                <c:formatCode>General</c:formatCode>
                <c:ptCount val="5"/>
                <c:pt idx="0">
                  <c:v>4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DB-467F-B91B-472631AF5C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14</xdr:col>
      <xdr:colOff>0</xdr:colOff>
      <xdr:row>15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4:J12" headerRowBorderDxfId="10">
  <tableColumns count="10">
    <tableColumn id="1" xr3:uid="{00000000-0010-0000-0000-000001000000}" name="Release"/>
    <tableColumn id="2" xr3:uid="{00000000-0010-0000-0000-000002000000}" name="Sprint"/>
    <tableColumn id="3" xr3:uid="{00000000-0010-0000-0000-000003000000}" name="Objetivo"/>
    <tableColumn id="4" xr3:uid="{00000000-0010-0000-0000-000004000000}" name="Entregable principal"/>
    <tableColumn id="5" xr3:uid="{00000000-0010-0000-0000-000005000000}" name="Estado actual"/>
    <tableColumn id="6" xr3:uid="{00000000-0010-0000-0000-000006000000}" name="Evidencia verificable"/>
    <tableColumn id="7" xr3:uid="{00000000-0010-0000-0000-000007000000}" name="Criterio de salida"/>
    <tableColumn id="8" xr3:uid="{00000000-0010-0000-0000-000008000000}" name="Pendiente clave"/>
    <tableColumn id="9" xr3:uid="{00000000-0010-0000-0000-000009000000}" name="Dependencias"/>
    <tableColumn id="10" xr3:uid="{00000000-0010-0000-0000-00000A000000}" name="Observaciones"/>
  </tableColumns>
  <tableStyleInfo name="Release Pla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topLeftCell="A12" workbookViewId="0">
      <selection activeCell="E17" sqref="E17"/>
    </sheetView>
  </sheetViews>
  <sheetFormatPr baseColWidth="10" defaultColWidth="12.625" defaultRowHeight="14.25"/>
  <cols>
    <col min="1" max="1" width="12" customWidth="1"/>
    <col min="2" max="2" width="18.625" customWidth="1"/>
    <col min="3" max="3" width="28" customWidth="1"/>
    <col min="4" max="4" width="37.625" customWidth="1"/>
    <col min="5" max="5" width="18.875" customWidth="1"/>
    <col min="6" max="6" width="38" customWidth="1"/>
    <col min="7" max="7" width="37.625" customWidth="1"/>
    <col min="8" max="8" width="40" customWidth="1"/>
    <col min="9" max="9" width="16.25" customWidth="1"/>
    <col min="10" max="10" width="16.625" customWidth="1"/>
  </cols>
  <sheetData>
    <row r="1" spans="1:10" ht="27.75" customHeight="1">
      <c r="A1" s="13" t="s">
        <v>0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39.75" customHeight="1">
      <c r="A2" s="15" t="s">
        <v>81</v>
      </c>
      <c r="B2" s="16"/>
      <c r="C2" s="16"/>
      <c r="D2" s="16"/>
      <c r="E2" s="16"/>
      <c r="F2" s="16"/>
      <c r="G2" s="16"/>
      <c r="H2" s="16"/>
      <c r="I2" s="16"/>
      <c r="J2" s="17"/>
    </row>
    <row r="4" spans="1:10" ht="36" customHeight="1">
      <c r="A4" s="8" t="s">
        <v>1</v>
      </c>
      <c r="B4" s="8" t="s">
        <v>2</v>
      </c>
      <c r="C4" s="8" t="s">
        <v>3</v>
      </c>
      <c r="D4" s="8" t="s">
        <v>4</v>
      </c>
      <c r="E4" s="8" t="s">
        <v>5</v>
      </c>
      <c r="F4" s="8" t="s">
        <v>6</v>
      </c>
      <c r="G4" s="8" t="s">
        <v>7</v>
      </c>
      <c r="H4" s="8" t="s">
        <v>8</v>
      </c>
      <c r="I4" s="9" t="s">
        <v>9</v>
      </c>
      <c r="J4" s="9" t="s">
        <v>10</v>
      </c>
    </row>
    <row r="5" spans="1:10" ht="72" customHeight="1">
      <c r="A5" s="6" t="s">
        <v>11</v>
      </c>
      <c r="B5" s="6" t="s">
        <v>12</v>
      </c>
      <c r="C5" s="6" t="s">
        <v>13</v>
      </c>
      <c r="D5" s="6" t="s">
        <v>14</v>
      </c>
      <c r="E5" s="6" t="s">
        <v>15</v>
      </c>
      <c r="F5" s="6" t="s">
        <v>16</v>
      </c>
      <c r="G5" s="6" t="s">
        <v>17</v>
      </c>
      <c r="H5" s="6" t="s">
        <v>18</v>
      </c>
      <c r="I5" s="7" t="s">
        <v>19</v>
      </c>
      <c r="J5" s="7" t="s">
        <v>20</v>
      </c>
    </row>
    <row r="6" spans="1:10" ht="72" customHeight="1">
      <c r="A6" s="1" t="s">
        <v>21</v>
      </c>
      <c r="B6" s="1" t="s">
        <v>22</v>
      </c>
      <c r="C6" s="1" t="s">
        <v>23</v>
      </c>
      <c r="D6" s="1" t="s">
        <v>24</v>
      </c>
      <c r="E6" s="1" t="s">
        <v>25</v>
      </c>
      <c r="F6" s="1" t="s">
        <v>26</v>
      </c>
      <c r="G6" s="1" t="s">
        <v>27</v>
      </c>
      <c r="H6" s="1" t="s">
        <v>28</v>
      </c>
      <c r="I6" s="4" t="s">
        <v>29</v>
      </c>
      <c r="J6" s="4" t="s">
        <v>30</v>
      </c>
    </row>
    <row r="7" spans="1:10" ht="72" customHeight="1">
      <c r="A7" s="1" t="s">
        <v>31</v>
      </c>
      <c r="B7" s="1" t="s">
        <v>32</v>
      </c>
      <c r="C7" s="1" t="s">
        <v>33</v>
      </c>
      <c r="D7" s="1" t="s">
        <v>34</v>
      </c>
      <c r="E7" s="1" t="s">
        <v>35</v>
      </c>
      <c r="F7" s="1" t="s">
        <v>36</v>
      </c>
      <c r="G7" s="1" t="s">
        <v>37</v>
      </c>
      <c r="H7" s="1" t="s">
        <v>38</v>
      </c>
      <c r="I7" s="4" t="s">
        <v>39</v>
      </c>
      <c r="J7" s="4" t="s">
        <v>40</v>
      </c>
    </row>
    <row r="8" spans="1:10" ht="72" customHeight="1">
      <c r="A8" s="1" t="s">
        <v>41</v>
      </c>
      <c r="B8" s="1" t="s">
        <v>42</v>
      </c>
      <c r="C8" s="1" t="s">
        <v>43</v>
      </c>
      <c r="D8" s="1" t="s">
        <v>44</v>
      </c>
      <c r="E8" s="1" t="s">
        <v>15</v>
      </c>
      <c r="F8" s="1" t="s">
        <v>45</v>
      </c>
      <c r="G8" s="1" t="s">
        <v>46</v>
      </c>
      <c r="H8" s="1" t="s">
        <v>47</v>
      </c>
      <c r="I8" s="4" t="s">
        <v>48</v>
      </c>
      <c r="J8" s="4" t="s">
        <v>49</v>
      </c>
    </row>
    <row r="9" spans="1:10" ht="72" customHeight="1">
      <c r="A9" s="1" t="s">
        <v>50</v>
      </c>
      <c r="B9" s="1" t="s">
        <v>51</v>
      </c>
      <c r="C9" s="1" t="s">
        <v>52</v>
      </c>
      <c r="D9" s="1" t="s">
        <v>53</v>
      </c>
      <c r="E9" s="1" t="s">
        <v>15</v>
      </c>
      <c r="F9" s="1" t="s">
        <v>82</v>
      </c>
      <c r="G9" s="1" t="s">
        <v>83</v>
      </c>
      <c r="H9" s="1" t="s">
        <v>84</v>
      </c>
      <c r="I9" s="4" t="s">
        <v>54</v>
      </c>
      <c r="J9" s="4" t="s">
        <v>85</v>
      </c>
    </row>
    <row r="10" spans="1:10" ht="72" customHeight="1">
      <c r="A10" s="1" t="s">
        <v>86</v>
      </c>
      <c r="B10" s="1" t="s">
        <v>87</v>
      </c>
      <c r="C10" s="1" t="s">
        <v>88</v>
      </c>
      <c r="D10" s="1" t="s">
        <v>89</v>
      </c>
      <c r="E10" s="1" t="s">
        <v>15</v>
      </c>
      <c r="F10" s="1" t="s">
        <v>90</v>
      </c>
      <c r="G10" s="1" t="s">
        <v>91</v>
      </c>
      <c r="H10" s="1" t="s">
        <v>92</v>
      </c>
      <c r="I10" s="4" t="s">
        <v>93</v>
      </c>
      <c r="J10" s="4" t="s">
        <v>94</v>
      </c>
    </row>
    <row r="11" spans="1:10" ht="72" customHeight="1">
      <c r="A11" s="1" t="s">
        <v>95</v>
      </c>
      <c r="B11" s="1" t="s">
        <v>96</v>
      </c>
      <c r="C11" s="1" t="s">
        <v>97</v>
      </c>
      <c r="D11" s="1" t="s">
        <v>98</v>
      </c>
      <c r="E11" s="1" t="s">
        <v>25</v>
      </c>
      <c r="F11" s="1" t="s">
        <v>99</v>
      </c>
      <c r="G11" s="1" t="s">
        <v>100</v>
      </c>
      <c r="H11" s="1" t="s">
        <v>101</v>
      </c>
      <c r="I11" s="4" t="s">
        <v>102</v>
      </c>
      <c r="J11" s="4" t="s">
        <v>103</v>
      </c>
    </row>
    <row r="12" spans="1:10" ht="72" customHeight="1">
      <c r="A12" s="1" t="s">
        <v>77</v>
      </c>
      <c r="B12" s="1" t="s">
        <v>79</v>
      </c>
      <c r="C12" s="1" t="s">
        <v>104</v>
      </c>
      <c r="D12" s="1" t="s">
        <v>105</v>
      </c>
      <c r="E12" s="1" t="s">
        <v>59</v>
      </c>
      <c r="F12" s="1" t="s">
        <v>106</v>
      </c>
      <c r="G12" s="1" t="s">
        <v>107</v>
      </c>
      <c r="H12" s="1" t="s">
        <v>108</v>
      </c>
      <c r="I12" s="4" t="s">
        <v>109</v>
      </c>
      <c r="J12" s="4" t="s">
        <v>110</v>
      </c>
    </row>
    <row r="15" spans="1:10">
      <c r="A15" s="18" t="s">
        <v>55</v>
      </c>
      <c r="B15" s="19"/>
      <c r="C15" s="19"/>
      <c r="D15" s="19"/>
      <c r="E15" s="19"/>
      <c r="F15" s="19"/>
      <c r="G15" s="19"/>
      <c r="H15" s="19"/>
      <c r="I15" s="19"/>
      <c r="J15" s="20"/>
    </row>
    <row r="16" spans="1:10" ht="71.25">
      <c r="A16" s="10" t="s">
        <v>15</v>
      </c>
      <c r="B16" s="10" t="s">
        <v>56</v>
      </c>
      <c r="C16" s="10" t="s">
        <v>35</v>
      </c>
      <c r="D16" s="10" t="s">
        <v>57</v>
      </c>
      <c r="E16" s="1" t="s">
        <v>25</v>
      </c>
      <c r="F16" s="10" t="s">
        <v>58</v>
      </c>
      <c r="G16" s="10" t="s">
        <v>59</v>
      </c>
      <c r="H16" s="10" t="s">
        <v>60</v>
      </c>
      <c r="I16" s="10" t="s">
        <v>61</v>
      </c>
      <c r="J16" s="10" t="s">
        <v>62</v>
      </c>
    </row>
    <row r="17" spans="1:10" ht="142.5">
      <c r="A17" s="11" t="s">
        <v>63</v>
      </c>
      <c r="B17" s="11" t="s">
        <v>64</v>
      </c>
      <c r="C17" s="12"/>
      <c r="D17" s="12"/>
      <c r="E17" s="12"/>
      <c r="F17" s="12"/>
      <c r="G17" s="12"/>
      <c r="H17" s="12"/>
      <c r="I17" s="12"/>
      <c r="J17" s="12"/>
    </row>
    <row r="21" spans="1:10" ht="15.75" customHeight="1"/>
    <row r="22" spans="1:10" ht="15.75" customHeight="1"/>
    <row r="23" spans="1:10" ht="15.75" customHeight="1"/>
    <row r="24" spans="1:10" ht="15.75" customHeight="1"/>
    <row r="25" spans="1:10" ht="15.75" customHeight="1"/>
    <row r="26" spans="1:10" ht="15.75" customHeight="1"/>
    <row r="27" spans="1:10" ht="15.75" customHeight="1"/>
    <row r="28" spans="1:10" ht="15.75" customHeight="1"/>
    <row r="29" spans="1:10" ht="15.75" customHeight="1"/>
    <row r="30" spans="1:10" ht="15.75" customHeight="1"/>
    <row r="31" spans="1:10" ht="15.75" customHeight="1"/>
    <row r="32" spans="1:10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J1"/>
    <mergeCell ref="A2:J2"/>
    <mergeCell ref="A15:J15"/>
  </mergeCells>
  <conditionalFormatting sqref="E5:E12">
    <cfRule type="expression" dxfId="9" priority="6">
      <formula>E5="Completo"</formula>
    </cfRule>
    <cfRule type="expression" dxfId="8" priority="7">
      <formula>E5="Avance alto"</formula>
    </cfRule>
    <cfRule type="expression" dxfId="7" priority="8">
      <formula>E5="En progreso"</formula>
    </cfRule>
    <cfRule type="expression" dxfId="6" priority="9">
      <formula>E5="Parcial"</formula>
    </cfRule>
    <cfRule type="expression" dxfId="5" priority="10">
      <formula>E5="Pendiente"</formula>
    </cfRule>
  </conditionalFormatting>
  <conditionalFormatting sqref="E16">
    <cfRule type="expression" dxfId="4" priority="1">
      <formula>E16="Completo"</formula>
    </cfRule>
    <cfRule type="expression" dxfId="3" priority="2">
      <formula>E16="Avance alto"</formula>
    </cfRule>
    <cfRule type="expression" dxfId="2" priority="3">
      <formula>E16="En progreso"</formula>
    </cfRule>
    <cfRule type="expression" dxfId="1" priority="4">
      <formula>E16="Parcial"</formula>
    </cfRule>
    <cfRule type="expression" dxfId="0" priority="5">
      <formula>E16="Pendiente"</formula>
    </cfRule>
  </conditionalFormatting>
  <dataValidations count="1">
    <dataValidation type="list" allowBlank="1" sqref="E5:E12 E16" xr:uid="{00000000-0002-0000-0000-000000000000}">
      <formula1>"Pendiente,Parcial,En progreso,Avance alto,Completo"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tabSelected="1" workbookViewId="0">
      <selection sqref="A1:F1"/>
    </sheetView>
  </sheetViews>
  <sheetFormatPr baseColWidth="10" defaultColWidth="12.625" defaultRowHeight="14.25"/>
  <cols>
    <col min="1" max="1" width="18" customWidth="1"/>
    <col min="2" max="2" width="30" customWidth="1"/>
    <col min="3" max="3" width="14" customWidth="1"/>
    <col min="4" max="4" width="18" customWidth="1"/>
    <col min="5" max="5" width="12" customWidth="1"/>
    <col min="6" max="6" width="38" customWidth="1"/>
  </cols>
  <sheetData>
    <row r="1" spans="1:6" ht="20.25">
      <c r="A1" s="21" t="s">
        <v>111</v>
      </c>
      <c r="B1" s="14"/>
      <c r="C1" s="14"/>
      <c r="D1" s="14"/>
      <c r="E1" s="14"/>
      <c r="F1" s="14"/>
    </row>
    <row r="3" spans="1:6" ht="15">
      <c r="A3" s="2" t="s">
        <v>65</v>
      </c>
      <c r="B3" s="2" t="s">
        <v>66</v>
      </c>
      <c r="C3" s="5"/>
      <c r="D3" s="2" t="s">
        <v>67</v>
      </c>
      <c r="E3" s="2" t="s">
        <v>68</v>
      </c>
      <c r="F3" s="5"/>
    </row>
    <row r="4" spans="1:6" ht="28.5">
      <c r="A4" s="3" t="s">
        <v>112</v>
      </c>
      <c r="B4" s="3">
        <v>8</v>
      </c>
      <c r="C4" s="5"/>
      <c r="D4" s="3" t="s">
        <v>15</v>
      </c>
      <c r="E4" s="3">
        <f t="shared" ref="E4:E8" si="0">B5</f>
        <v>4</v>
      </c>
      <c r="F4" s="5"/>
    </row>
    <row r="5" spans="1:6">
      <c r="A5" s="3" t="s">
        <v>113</v>
      </c>
      <c r="B5" s="3">
        <v>4</v>
      </c>
      <c r="C5" s="5"/>
      <c r="D5" s="3" t="s">
        <v>35</v>
      </c>
      <c r="E5" s="3">
        <f t="shared" si="0"/>
        <v>1</v>
      </c>
      <c r="F5" s="5"/>
    </row>
    <row r="6" spans="1:6">
      <c r="A6" s="3" t="s">
        <v>35</v>
      </c>
      <c r="B6" s="3">
        <v>1</v>
      </c>
      <c r="C6" s="5"/>
      <c r="D6" s="3" t="s">
        <v>63</v>
      </c>
      <c r="E6" s="3">
        <f t="shared" si="0"/>
        <v>0</v>
      </c>
      <c r="F6" s="5"/>
    </row>
    <row r="7" spans="1:6">
      <c r="A7" s="3" t="s">
        <v>63</v>
      </c>
      <c r="B7" s="3">
        <v>0</v>
      </c>
      <c r="C7" s="5"/>
      <c r="D7" s="3" t="s">
        <v>25</v>
      </c>
      <c r="E7" s="3">
        <f t="shared" si="0"/>
        <v>2</v>
      </c>
      <c r="F7" s="5"/>
    </row>
    <row r="8" spans="1:6">
      <c r="A8" s="3" t="s">
        <v>114</v>
      </c>
      <c r="B8" s="3">
        <v>2</v>
      </c>
      <c r="C8" s="5"/>
      <c r="D8" s="4" t="s">
        <v>59</v>
      </c>
      <c r="E8" s="4">
        <f t="shared" si="0"/>
        <v>1</v>
      </c>
      <c r="F8" s="5"/>
    </row>
    <row r="9" spans="1:6">
      <c r="A9" s="3" t="s">
        <v>115</v>
      </c>
      <c r="B9" s="3">
        <v>1</v>
      </c>
      <c r="C9" s="5"/>
      <c r="D9" s="5"/>
      <c r="E9" s="5"/>
      <c r="F9" s="5"/>
    </row>
    <row r="10" spans="1:6">
      <c r="A10" s="5" t="s">
        <v>116</v>
      </c>
      <c r="B10" s="5" t="s">
        <v>117</v>
      </c>
      <c r="C10" s="5"/>
      <c r="D10" s="5"/>
      <c r="E10" s="5"/>
      <c r="F10" s="5"/>
    </row>
    <row r="11" spans="1:6">
      <c r="A11" s="5"/>
      <c r="B11" s="5"/>
      <c r="C11" s="5"/>
      <c r="D11" s="5"/>
      <c r="E11" s="5"/>
      <c r="F11" s="5"/>
    </row>
    <row r="12" spans="1:6" ht="15">
      <c r="A12" s="22" t="s">
        <v>69</v>
      </c>
      <c r="B12" s="16"/>
      <c r="C12" s="16"/>
      <c r="D12" s="16"/>
      <c r="E12" s="16"/>
      <c r="F12" s="17"/>
    </row>
    <row r="13" spans="1:6">
      <c r="A13" s="4" t="s">
        <v>11</v>
      </c>
      <c r="B13" s="4" t="s">
        <v>70</v>
      </c>
      <c r="C13" s="4" t="s">
        <v>12</v>
      </c>
      <c r="D13" s="4" t="s">
        <v>15</v>
      </c>
      <c r="E13" s="4" t="s">
        <v>71</v>
      </c>
      <c r="F13" s="4" t="s">
        <v>72</v>
      </c>
    </row>
    <row r="14" spans="1:6">
      <c r="A14" s="4" t="s">
        <v>21</v>
      </c>
      <c r="B14" s="4" t="s">
        <v>23</v>
      </c>
      <c r="C14" s="4" t="s">
        <v>22</v>
      </c>
      <c r="D14" s="4" t="s">
        <v>25</v>
      </c>
      <c r="E14" s="4" t="s">
        <v>71</v>
      </c>
      <c r="F14" s="4" t="s">
        <v>73</v>
      </c>
    </row>
    <row r="15" spans="1:6">
      <c r="A15" s="4" t="s">
        <v>31</v>
      </c>
      <c r="B15" s="4" t="s">
        <v>33</v>
      </c>
      <c r="C15" s="4" t="s">
        <v>32</v>
      </c>
      <c r="D15" s="4" t="s">
        <v>35</v>
      </c>
      <c r="E15" s="4" t="s">
        <v>71</v>
      </c>
      <c r="F15" s="4" t="s">
        <v>74</v>
      </c>
    </row>
    <row r="16" spans="1:6">
      <c r="A16" s="4" t="s">
        <v>41</v>
      </c>
      <c r="B16" s="4" t="s">
        <v>43</v>
      </c>
      <c r="C16" s="4" t="s">
        <v>42</v>
      </c>
      <c r="D16" s="4" t="s">
        <v>15</v>
      </c>
      <c r="E16" s="4" t="s">
        <v>71</v>
      </c>
      <c r="F16" s="4" t="s">
        <v>75</v>
      </c>
    </row>
    <row r="17" spans="1:6">
      <c r="A17" s="4" t="s">
        <v>50</v>
      </c>
      <c r="B17" s="4" t="s">
        <v>76</v>
      </c>
      <c r="C17" s="4" t="s">
        <v>51</v>
      </c>
      <c r="D17" s="4" t="s">
        <v>15</v>
      </c>
      <c r="E17" s="4" t="s">
        <v>71</v>
      </c>
      <c r="F17" s="4" t="s">
        <v>118</v>
      </c>
    </row>
    <row r="18" spans="1:6" ht="28.5">
      <c r="A18" s="4" t="s">
        <v>86</v>
      </c>
      <c r="B18" s="4" t="s">
        <v>119</v>
      </c>
      <c r="C18" s="4" t="s">
        <v>87</v>
      </c>
      <c r="D18" s="4" t="s">
        <v>15</v>
      </c>
      <c r="E18" s="4" t="s">
        <v>71</v>
      </c>
      <c r="F18" s="4" t="s">
        <v>120</v>
      </c>
    </row>
    <row r="19" spans="1:6" ht="28.5">
      <c r="A19" s="4" t="s">
        <v>95</v>
      </c>
      <c r="B19" s="4" t="s">
        <v>121</v>
      </c>
      <c r="C19" s="4" t="s">
        <v>96</v>
      </c>
      <c r="D19" s="4" t="s">
        <v>25</v>
      </c>
      <c r="E19" s="4" t="s">
        <v>71</v>
      </c>
      <c r="F19" s="4" t="s">
        <v>122</v>
      </c>
    </row>
    <row r="20" spans="1:6">
      <c r="A20" s="4" t="s">
        <v>77</v>
      </c>
      <c r="B20" s="4" t="s">
        <v>78</v>
      </c>
      <c r="C20" s="4" t="s">
        <v>79</v>
      </c>
      <c r="D20" s="4" t="s">
        <v>59</v>
      </c>
      <c r="E20" s="4" t="s">
        <v>71</v>
      </c>
      <c r="F20" s="4" t="s">
        <v>123</v>
      </c>
    </row>
    <row r="21" spans="1:6" ht="15.75" customHeight="1">
      <c r="A21" s="5"/>
      <c r="B21" s="5"/>
      <c r="C21" s="5"/>
      <c r="D21" s="5"/>
      <c r="E21" s="5"/>
      <c r="F21" s="5"/>
    </row>
    <row r="22" spans="1:6" ht="15.75" customHeight="1">
      <c r="A22" s="23" t="s">
        <v>80</v>
      </c>
      <c r="B22" s="23"/>
      <c r="C22" s="23"/>
      <c r="D22" s="23"/>
      <c r="E22" s="23"/>
      <c r="F22" s="23"/>
    </row>
    <row r="23" spans="1:6" ht="72" customHeight="1">
      <c r="A23" s="24" t="s">
        <v>124</v>
      </c>
      <c r="B23" s="24"/>
      <c r="C23" s="24"/>
      <c r="D23" s="24"/>
      <c r="E23" s="24"/>
      <c r="F23" s="24"/>
    </row>
    <row r="24" spans="1:6" ht="15.75" customHeight="1">
      <c r="A24" s="24"/>
      <c r="B24" s="24"/>
      <c r="C24" s="24"/>
      <c r="D24" s="24"/>
      <c r="E24" s="24"/>
      <c r="F24" s="24"/>
    </row>
    <row r="25" spans="1:6" ht="15.75" customHeight="1">
      <c r="A25" s="24"/>
      <c r="B25" s="24"/>
      <c r="C25" s="24"/>
      <c r="D25" s="24"/>
      <c r="E25" s="24"/>
      <c r="F25" s="24"/>
    </row>
    <row r="26" spans="1:6" ht="15.75" customHeight="1">
      <c r="A26" s="24"/>
      <c r="B26" s="24"/>
      <c r="C26" s="24"/>
      <c r="D26" s="24"/>
      <c r="E26" s="24"/>
      <c r="F26" s="24"/>
    </row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F1"/>
    <mergeCell ref="A12:F12"/>
    <mergeCell ref="A22:F22"/>
    <mergeCell ref="A23:F2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Release Plan</vt:lpstr>
      <vt:lpstr>Resumen Release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IMPUS CHILE</cp:lastModifiedBy>
  <dcterms:modified xsi:type="dcterms:W3CDTF">2026-09-22T19:55:13Z</dcterms:modified>
</cp:coreProperties>
</file>