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lease Plan" sheetId="1" state="visible" r:id="rId1"/>
    <sheet xmlns:r="http://schemas.openxmlformats.org/officeDocument/2006/relationships" name="Resumen Release" sheetId="2" state="visible" r:id="rId2"/>
    <sheet xmlns:r="http://schemas.openxmlformats.org/officeDocument/2006/relationships" name="Corte 15-10" sheetId="3" state="visible" r:id="rId3"/>
    <sheet xmlns:r="http://schemas.openxmlformats.org/officeDocument/2006/relationships" name="Verificación GitHub 16-10" sheetId="4" state="visible" r:id="rId4"/>
  </sheets>
  <definedNames/>
</workbook>
</file>

<file path=xl/styles.xml><?xml version="1.0" encoding="utf-8"?>
<styleSheet xmlns="http://schemas.openxmlformats.org/spreadsheetml/2006/main">
  <numFmts count="0"/>
  <fonts count="12">
    <font>
      <name val="Carlito"/>
      <color rgb="FF000000"/>
      <sz val="11"/>
    </font>
    <font>
      <name val="Carlito"/>
      <b val="1"/>
      <color rgb="FFFFFFFF"/>
      <sz val="16"/>
    </font>
    <font>
      <name val="Carlito"/>
      <color theme="1"/>
      <sz val="11"/>
    </font>
    <font>
      <name val="Carlito"/>
      <sz val="11"/>
    </font>
    <font>
      <name val="Carlito"/>
      <b val="1"/>
      <color theme="1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color theme="1"/>
      <sz val="11"/>
    </font>
    <font>
      <name val="Carlito"/>
      <b val="1"/>
      <color rgb="FFFFFFFF"/>
      <sz val="15"/>
    </font>
    <font>
      <name val="Carlito"/>
      <color rgb="FF172B50"/>
      <sz val="10"/>
    </font>
    <font>
      <name val="Carlito"/>
      <b val="1"/>
      <color rgb="FFFFFFFF"/>
      <sz val="11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theme="9"/>
      </patternFill>
    </fill>
    <fill>
      <patternFill patternType="solid">
        <fgColor rgb="FFF7F9FB"/>
      </patternFill>
    </fill>
    <fill>
      <patternFill patternType="solid">
        <fgColor rgb="FFB6D7A8"/>
      </patternFill>
    </fill>
    <fill>
      <patternFill patternType="solid">
        <fgColor rgb="FFE2F0D9"/>
      </patternFill>
    </fill>
    <fill>
      <patternFill patternType="solid">
        <fgColor rgb="FFE2F0D9"/>
      </patternFill>
    </fill>
    <fill>
      <patternFill patternType="solid">
        <fgColor rgb="FF92D050"/>
      </patternFill>
    </fill>
    <fill>
      <patternFill patternType="solid">
        <fgColor rgb="FF172B50"/>
      </patternFill>
    </fill>
    <fill>
      <patternFill patternType="solid">
        <fgColor rgb="FFE8F5F5"/>
      </patternFill>
    </fill>
    <fill>
      <patternFill patternType="solid">
        <fgColor rgb="FF008184"/>
      </patternFill>
    </fill>
    <fill>
      <patternFill patternType="solid">
        <fgColor rgb="FFF3F8FB"/>
      </patternFill>
    </fill>
    <fill>
      <patternFill patternType="solid">
        <fgColor rgb="0017365D"/>
      </patternFill>
    </fill>
    <fill>
      <patternFill patternType="solid">
        <fgColor rgb="00EEF5F7"/>
      </patternFill>
    </fill>
  </fills>
  <borders count="1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indexed="64"/>
      </top>
    </border>
    <border>
      <right style="thin">
        <color indexed="64"/>
      </right>
      <top style="thin">
        <color indexed="64"/>
      </top>
    </border>
    <border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</border>
    <border>
      <right style="thin">
        <color indexed="64"/>
      </right>
    </border>
    <border>
      <left style="thin">
        <color indexed="64"/>
      </left>
      <bottom style="thin">
        <color indexed="64"/>
      </bottom>
    </border>
    <border>
      <bottom style="thin">
        <color indexed="64"/>
      </bottom>
    </border>
    <border>
      <right style="thin">
        <color indexed="64"/>
      </right>
      <bottom style="thin">
        <color indexed="64"/>
      </bottom>
    </border>
  </borders>
  <cellStyleXfs count="1">
    <xf numFmtId="0" fontId="5" fillId="0" borderId="0"/>
  </cellStyleXfs>
  <cellXfs count="79">
    <xf numFmtId="0" fontId="0" fillId="0" borderId="0" pivotButton="0" quotePrefix="0" xfId="0"/>
    <xf numFmtId="0" fontId="2" fillId="0" borderId="4" applyAlignment="1" pivotButton="0" quotePrefix="0" xfId="0">
      <alignment vertical="top" wrapText="1"/>
    </xf>
    <xf numFmtId="0" fontId="6" fillId="4" borderId="4" applyAlignment="1" pivotButton="0" quotePrefix="0" xfId="0">
      <alignment wrapText="1"/>
    </xf>
    <xf numFmtId="0" fontId="7" fillId="0" borderId="4" applyAlignment="1" pivotButton="0" quotePrefix="0" xfId="0">
      <alignment wrapText="1"/>
    </xf>
    <xf numFmtId="0" fontId="0" fillId="0" borderId="4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0" borderId="6" applyAlignment="1" pivotButton="0" quotePrefix="0" xfId="0">
      <alignment vertical="top" wrapText="1"/>
    </xf>
    <xf numFmtId="0" fontId="0" fillId="0" borderId="6" applyAlignment="1" pivotButton="0" quotePrefix="0" xfId="0">
      <alignment wrapText="1"/>
    </xf>
    <xf numFmtId="0" fontId="4" fillId="7" borderId="5" applyAlignment="1" pivotButton="0" quotePrefix="0" xfId="0">
      <alignment horizontal="center" vertical="center" wrapText="1"/>
    </xf>
    <xf numFmtId="0" fontId="4" fillId="7" borderId="5" applyAlignment="1" pivotButton="0" quotePrefix="0" xfId="0">
      <alignment horizontal="center" vertical="center"/>
    </xf>
    <xf numFmtId="0" fontId="5" fillId="3" borderId="7" applyAlignment="1" pivotButton="0" quotePrefix="0" xfId="0">
      <alignment wrapText="1"/>
    </xf>
    <xf numFmtId="0" fontId="0" fillId="0" borderId="5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1" applyAlignment="1" pivotButton="0" quotePrefix="0" xfId="0">
      <alignment wrapText="1"/>
    </xf>
    <xf numFmtId="0" fontId="3" fillId="0" borderId="2" applyAlignment="1" pivotButton="0" quotePrefix="0" xfId="0">
      <alignment wrapText="1"/>
    </xf>
    <xf numFmtId="0" fontId="3" fillId="0" borderId="3" applyAlignment="1" pivotButton="0" quotePrefix="0" xfId="0">
      <alignment wrapText="1"/>
    </xf>
    <xf numFmtId="0" fontId="6" fillId="4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3" fillId="0" borderId="3" pivotButton="0" quotePrefix="0" xfId="0"/>
    <xf numFmtId="0" fontId="1" fillId="2" borderId="0" applyAlignment="1" pivotButton="0" quotePrefix="0" xfId="0">
      <alignment horizontal="center"/>
    </xf>
    <xf numFmtId="0" fontId="6" fillId="5" borderId="1" applyAlignment="1" pivotButton="0" quotePrefix="0" xfId="0">
      <alignment horizontal="center" wrapText="1"/>
    </xf>
    <xf numFmtId="0" fontId="6" fillId="6" borderId="5" applyAlignment="1" pivotButton="0" quotePrefix="0" xfId="0">
      <alignment wrapText="1"/>
    </xf>
    <xf numFmtId="0" fontId="0" fillId="0" borderId="5" applyAlignment="1" pivotButton="0" quotePrefix="0" xfId="0">
      <alignment vertical="top" wrapText="1"/>
    </xf>
    <xf numFmtId="0" fontId="0" fillId="0" borderId="0" pivotButton="0" quotePrefix="0" xfId="0"/>
    <xf numFmtId="0" fontId="2" fillId="0" borderId="4" applyAlignment="1" pivotButton="0" quotePrefix="0" xfId="0">
      <alignment vertical="top" wrapText="1"/>
    </xf>
    <xf numFmtId="0" fontId="6" fillId="4" borderId="4" applyAlignment="1" pivotButton="0" quotePrefix="0" xfId="0">
      <alignment wrapText="1"/>
    </xf>
    <xf numFmtId="0" fontId="2" fillId="0" borderId="4" applyAlignment="1" pivotButton="0" quotePrefix="0" xfId="0">
      <alignment wrapText="1"/>
    </xf>
    <xf numFmtId="0" fontId="0" fillId="0" borderId="4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0" borderId="6" applyAlignment="1" pivotButton="0" quotePrefix="0" xfId="0">
      <alignment vertical="top" wrapText="1"/>
    </xf>
    <xf numFmtId="0" fontId="0" fillId="0" borderId="6" applyAlignment="1" pivotButton="0" quotePrefix="0" xfId="0">
      <alignment wrapText="1"/>
    </xf>
    <xf numFmtId="0" fontId="4" fillId="7" borderId="5" applyAlignment="1" pivotButton="0" quotePrefix="0" xfId="0">
      <alignment horizontal="center" vertical="center" wrapText="1"/>
    </xf>
    <xf numFmtId="0" fontId="4" fillId="7" borderId="5" applyAlignment="1" pivotButton="0" quotePrefix="0" xfId="0">
      <alignment horizontal="center" vertical="center"/>
    </xf>
    <xf numFmtId="0" fontId="0" fillId="3" borderId="7" applyAlignment="1" pivotButton="0" quotePrefix="0" xfId="0">
      <alignment wrapText="1"/>
    </xf>
    <xf numFmtId="0" fontId="0" fillId="0" borderId="5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wrapText="1"/>
    </xf>
    <xf numFmtId="0" fontId="3" fillId="0" borderId="2" applyAlignment="1" pivotButton="0" quotePrefix="0" xfId="0">
      <alignment wrapText="1"/>
    </xf>
    <xf numFmtId="0" fontId="3" fillId="0" borderId="3" applyAlignment="1" pivotButton="0" quotePrefix="0" xfId="0">
      <alignment wrapText="1"/>
    </xf>
    <xf numFmtId="0" fontId="6" fillId="4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3" fillId="0" borderId="3" pivotButton="0" quotePrefix="0" xfId="0"/>
    <xf numFmtId="0" fontId="1" fillId="2" borderId="0" applyAlignment="1" pivotButton="0" quotePrefix="0" xfId="0">
      <alignment horizontal="center"/>
    </xf>
    <xf numFmtId="0" fontId="6" fillId="5" borderId="1" applyAlignment="1" pivotButton="0" quotePrefix="0" xfId="0">
      <alignment horizontal="center" wrapText="1"/>
    </xf>
    <xf numFmtId="0" fontId="6" fillId="5" borderId="5" applyAlignment="1" pivotButton="0" quotePrefix="0" xfId="0">
      <alignment wrapText="1"/>
    </xf>
    <xf numFmtId="0" fontId="0" fillId="0" borderId="5" applyAlignment="1" pivotButton="0" quotePrefix="0" xfId="0">
      <alignment vertical="top" wrapText="1"/>
    </xf>
    <xf numFmtId="0" fontId="0" fillId="8" borderId="0" pivotButton="0" quotePrefix="0" xfId="0"/>
    <xf numFmtId="0" fontId="8" fillId="8" borderId="0" pivotButton="0" quotePrefix="0" xfId="0"/>
    <xf numFmtId="0" fontId="8" fillId="8" borderId="0" applyAlignment="1" pivotButton="0" quotePrefix="0" xfId="0">
      <alignment vertical="center"/>
    </xf>
    <xf numFmtId="0" fontId="0" fillId="9" borderId="0" pivotButton="0" quotePrefix="0" xfId="0"/>
    <xf numFmtId="0" fontId="9" fillId="9" borderId="0" pivotButton="0" quotePrefix="0" xfId="0"/>
    <xf numFmtId="0" fontId="9" fillId="9" borderId="0" applyAlignment="1" pivotButton="0" quotePrefix="0" xfId="0">
      <alignment wrapText="1"/>
    </xf>
    <xf numFmtId="0" fontId="9" fillId="9" borderId="0" applyAlignment="1" pivotButton="0" quotePrefix="0" xfId="0">
      <alignment vertical="center" wrapText="1"/>
    </xf>
    <xf numFmtId="0" fontId="0" fillId="10" borderId="0" pivotButton="0" quotePrefix="0" xfId="0"/>
    <xf numFmtId="0" fontId="10" fillId="10" borderId="0" pivotButton="0" quotePrefix="0" xfId="0"/>
    <xf numFmtId="0" fontId="10" fillId="10" borderId="0" applyAlignment="1" pivotButton="0" quotePrefix="0" xfId="0">
      <alignment wrapText="1"/>
    </xf>
    <xf numFmtId="0" fontId="10" fillId="1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11" borderId="0" applyAlignment="1" pivotButton="0" quotePrefix="0" xfId="0">
      <alignment vertical="top" wrapText="1"/>
    </xf>
    <xf numFmtId="0" fontId="2" fillId="3" borderId="4" applyAlignment="1" pivotButton="0" quotePrefix="0" xfId="0">
      <alignment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applyAlignment="1" pivotButton="0" quotePrefix="0" xfId="0">
      <alignment vertical="top" wrapText="1"/>
    </xf>
    <xf numFmtId="0" fontId="6" fillId="4" borderId="4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center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1" fillId="12" borderId="0" applyAlignment="1" pivotButton="0" quotePrefix="0" xfId="0">
      <alignment vertical="center" wrapText="1"/>
    </xf>
    <xf numFmtId="0" fontId="0" fillId="13" borderId="0" applyAlignment="1" pivotButton="0" quotePrefix="0" xfId="0">
      <alignment vertical="top" wrapText="1"/>
    </xf>
  </cellXfs>
  <cellStyles count="1">
    <cellStyle name="Normal" xfId="0"/>
  </cellStyles>
  <dxfs count="11">
    <dxf>
      <fill>
        <patternFill>
          <bgColor rgb="FFF2F2F2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C6E0B4"/>
        </patternFill>
      </fill>
    </dxf>
    <dxf>
      <fill>
        <patternFill>
          <bgColor rgb="FFE2F0D9"/>
        </patternFill>
      </fill>
    </dxf>
    <dxf>
      <fill>
        <patternFill>
          <bgColor rgb="FFF2F2F2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C6E0B4"/>
        </patternFill>
      </fill>
    </dxf>
    <dxf>
      <fill>
        <patternFill>
          <bgColor rgb="FFE2F0D9"/>
        </patternFill>
      </fill>
    </dxf>
    <dxf>
      <border>
        <bottom style="thin">
          <color indexed="64"/>
        </bottom>
      </border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Estado de releases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v>Cantidad</v>
          </tx>
          <spPr>
            <a:ln xmlns:a="http://schemas.openxmlformats.org/drawingml/2006/main">
              <a:prstDash val="solid"/>
            </a:ln>
          </spPr>
          <cat>
            <strRef>
              <f>'Resumen Release'!$D$4:$D$8</f>
              <strCache>
                <ptCount val="5"/>
                <pt idx="0">
                  <v>Completo</v>
                </pt>
                <pt idx="1">
                  <v>Avance alto</v>
                </pt>
                <pt idx="2">
                  <v>En progreso</v>
                </pt>
                <pt idx="3">
                  <v>Parcial</v>
                </pt>
                <pt idx="4">
                  <v>Pendiente</v>
                </pt>
              </strCache>
            </strRef>
          </cat>
          <val>
            <numRef>
              <f>'Resumen Release'!$E$4:$E$8</f>
              <numCache>
                <formatCode>General</formatCode>
                <ptCount val="5"/>
                <pt idx="0">
                  <v>4</v>
                </pt>
                <pt idx="1">
                  <v>1</v>
                </pt>
                <pt idx="2">
                  <v>0</v>
                </pt>
                <pt idx="3">
                  <v>2</v>
                </pt>
                <pt idx="4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72768"/>
        <crosses val="autoZero"/>
        <lblOffset val="10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50112"/>
        <crosses val="autoZero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7</col>
      <colOff>0</colOff>
      <row>2</row>
      <rowOff>0</rowOff>
    </from>
    <to>
      <col>14</col>
      <colOff>0</colOff>
      <row>15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abla_1" displayName="Tabla_1" ref="A4:J12" headerRowCount="1" headerRowBorderDxfId="10">
  <tableColumns count="10">
    <tableColumn id="1" name="Release"/>
    <tableColumn id="2" name="Sprint"/>
    <tableColumn id="3" name="Objetivo"/>
    <tableColumn id="4" name="Entregable principal"/>
    <tableColumn id="5" name="Estado actual"/>
    <tableColumn id="6" name="Evidencia verificable"/>
    <tableColumn id="7" name="Criterio de salida"/>
    <tableColumn id="8" name="Pendiente clave"/>
    <tableColumn id="9" name="Dependencias"/>
    <tableColumn id="10" name="Observaciones"/>
  </tableColumns>
  <tableStyleInfo name="Release Pla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10" defaultColWidth="12.625" defaultRowHeight="14.25"/>
  <cols>
    <col width="12" customWidth="1" style="25" min="1" max="1"/>
    <col width="18.625" customWidth="1" style="25" min="2" max="2"/>
    <col width="28" customWidth="1" style="25" min="3" max="3"/>
    <col width="37.625" customWidth="1" style="25" min="4" max="4"/>
    <col width="18.875" customWidth="1" style="25" min="5" max="5"/>
    <col width="38" customWidth="1" style="25" min="6" max="6"/>
    <col width="37.625" customWidth="1" style="25" min="7" max="7"/>
    <col width="40" customWidth="1" style="25" min="8" max="8"/>
    <col width="16.25" customWidth="1" style="25" min="9" max="9"/>
    <col width="16.625" customWidth="1" style="25" min="10" max="10"/>
  </cols>
  <sheetData>
    <row r="1" ht="27.75" customHeight="1" s="25">
      <c r="A1" s="38" t="inlineStr">
        <is>
          <t>CITAJUSTA RELEASE PLAN</t>
        </is>
      </c>
    </row>
    <row r="2" ht="39.75" customHeight="1" s="25">
      <c r="A2" s="62" t="inlineStr">
        <is>
          <t>Versión 1.10 · Corte 16-10-2026 · HU-039–042 Issues cerradas/PR fusionadas; HU-043 excluida. Cierre formal Sprint 8 pendiente de confirmar.</t>
        </is>
      </c>
      <c r="B2" s="63" t="n"/>
      <c r="C2" s="63" t="n"/>
      <c r="D2" s="63" t="n"/>
      <c r="E2" s="63" t="n"/>
      <c r="F2" s="63" t="n"/>
      <c r="G2" s="63" t="n"/>
      <c r="H2" s="63" t="n"/>
      <c r="I2" s="63" t="n"/>
      <c r="J2" s="64" t="n"/>
    </row>
    <row r="4" ht="36" customHeight="1" s="25">
      <c r="A4" s="33" t="inlineStr">
        <is>
          <t>Release</t>
        </is>
      </c>
      <c r="B4" s="33" t="inlineStr">
        <is>
          <t>Sprint</t>
        </is>
      </c>
      <c r="C4" s="33" t="inlineStr">
        <is>
          <t>Objetivo</t>
        </is>
      </c>
      <c r="D4" s="33" t="inlineStr">
        <is>
          <t>Entregable principal</t>
        </is>
      </c>
      <c r="E4" s="33" t="inlineStr">
        <is>
          <t>Estado actual</t>
        </is>
      </c>
      <c r="F4" s="33" t="inlineStr">
        <is>
          <t>Evidencia verificable</t>
        </is>
      </c>
      <c r="G4" s="33" t="inlineStr">
        <is>
          <t>Criterio de salida</t>
        </is>
      </c>
      <c r="H4" s="33" t="inlineStr">
        <is>
          <t>Pendiente clave</t>
        </is>
      </c>
      <c r="I4" s="34" t="inlineStr">
        <is>
          <t>Dependencias</t>
        </is>
      </c>
      <c r="J4" s="34" t="inlineStr">
        <is>
          <t>Observaciones</t>
        </is>
      </c>
    </row>
    <row r="5" ht="72" customHeight="1" s="25">
      <c r="A5" s="31" t="inlineStr">
        <is>
          <t>R0.1</t>
        </is>
      </c>
      <c r="B5" s="31" t="inlineStr">
        <is>
          <t>Sprint 1</t>
        </is>
      </c>
      <c r="C5" s="31" t="inlineStr">
        <is>
          <t>Análisis, alcance y arquitectura</t>
        </is>
      </c>
      <c r="D5" s="31" t="inlineStr">
        <is>
          <t>Documento Base, Alcance, Requisitos, Arquitectura, Product Backlog e historias iniciales</t>
        </is>
      </c>
      <c r="E5" s="31" t="inlineStr">
        <is>
          <t>Completo</t>
        </is>
      </c>
      <c r="F5" s="31" t="inlineStr">
        <is>
          <t>Documento Base; Alcance v1.0; Requisitos Funcionales; Arquitectura de Software/APIs; Product Backlog consolidado</t>
        </is>
      </c>
      <c r="G5" s="31" t="inlineStr">
        <is>
          <t>Alcance y backlog priorizado disponibles como base del desarrollo</t>
        </is>
      </c>
      <c r="H5" s="31" t="inlineStr">
        <is>
          <t>Mantener trazabilidad y actualizar cambios de alcance</t>
        </is>
      </c>
      <c r="I5" s="32" t="inlineStr">
        <is>
          <t>Retroalimentación docente</t>
        </is>
      </c>
      <c r="J5" s="32" t="inlineStr">
        <is>
          <t>Base documental suficiente para continuar el desarrollo incremental.</t>
        </is>
      </c>
    </row>
    <row r="6" ht="70" customHeight="1" s="25">
      <c r="A6" s="26" t="inlineStr">
        <is>
          <t>R0.2</t>
        </is>
      </c>
      <c r="B6" s="26" t="inlineStr">
        <is>
          <t>Sprint 2</t>
        </is>
      </c>
      <c r="C6" s="26" t="inlineStr">
        <is>
          <t>Configuración técnica</t>
        </is>
      </c>
      <c r="D6" s="26" t="inlineStr">
        <is>
          <t>Monorepo, backend base, PostgreSQL, Prisma, repositorio, Web y fundación Desktop</t>
        </is>
      </c>
      <c r="E6" s="26" t="inlineStr">
        <is>
          <t>Avance alto</t>
        </is>
      </c>
      <c r="F6" s="26" t="inlineStr">
        <is>
          <t>Monorepo npm; NestJS; PostgreSQL; Prisma 7.10.0; migraciones; README; apps/web operativa; apps/desktop Tauri 2 + React/Vite/TypeScript; @citajusta/client-core compartido; builds y cargo check validados.</t>
        </is>
      </c>
      <c r="G6" s="26" t="inlineStr">
        <is>
          <t>Entorno reproducible con clientes Web/Desktop base creados y conectados a la misma API</t>
        </is>
      </c>
      <c r="H6" s="26" t="inlineStr">
        <is>
          <t>Completar Docker/Docker Compose como parte del cierre técnico de Sprint 9.</t>
        </is>
      </c>
      <c r="I6" s="29" t="inlineStr">
        <is>
          <t>Node/npm; PostgreSQL; Rust/Cargo; MSVC Build Tools; WebView2</t>
        </is>
      </c>
      <c r="J6" s="29" t="inlineStr">
        <is>
          <t>La fundación Web y Desktop está disponible. La contenedorización se mantiene como cierre técnico planificado, no como requisito previo para las integraciones externas.</t>
        </is>
      </c>
    </row>
    <row r="7" ht="72" customHeight="1" s="25">
      <c r="A7" s="26" t="inlineStr">
        <is>
          <t>R0.3</t>
        </is>
      </c>
      <c r="B7" s="26" t="inlineStr">
        <is>
          <t>Sprint 3</t>
        </is>
      </c>
      <c r="C7" s="26" t="inlineStr">
        <is>
          <t>Seguridad y usuarios</t>
        </is>
      </c>
      <c r="D7" s="26" t="inlineStr">
        <is>
          <t>Auth, sesiones, JWT, RBAC, contexto institucional y validación</t>
        </is>
      </c>
      <c r="E7" s="26" t="inlineStr">
        <is>
          <t>Avance alto</t>
        </is>
      </c>
      <c r="F7" s="26" t="inlineStr">
        <is>
          <t>Registro/login/refresh/logout; Argon2id; sesiones; AccessTokenGuard; RBAC; AuthorizationContext; /users/me; Web protegida; Desktop autenticado y cliente compartido. Google OAuth/OIDC se planifica como método adicional en Sprint 8.</t>
        </is>
      </c>
      <c r="G7" s="26" t="inlineStr">
        <is>
          <t>Flujo de acceso y autorización base operativo y documentado</t>
        </is>
      </c>
      <c r="H7" s="26" t="inlineStr">
        <is>
          <t>Swagger/OpenAPI, rate limiting y hardening final quedan para Sprint 9; Google OAuth/OIDC se implementará en HU-040 sin reemplazar el login actual.</t>
        </is>
      </c>
      <c r="I7" s="29" t="inlineStr">
        <is>
          <t>Config/env; PostgreSQL; roles/permisos; proveedores externos futuros</t>
        </is>
      </c>
      <c r="J7" s="29" t="inlineStr">
        <is>
          <t>La seguridad base está implementada. Las integraciones externas deberán preservar RBAC, contexto institucional y manejo controlado de secretos.</t>
        </is>
      </c>
    </row>
    <row r="8" ht="72" customHeight="1" s="25">
      <c r="A8" s="26" t="inlineStr">
        <is>
          <t>R0.4</t>
        </is>
      </c>
      <c r="B8" s="26" t="inlineStr">
        <is>
          <t>Sprint 4</t>
        </is>
      </c>
      <c r="C8" s="26" t="inlineStr">
        <is>
          <t>Agenda base</t>
        </is>
      </c>
      <c r="D8" s="26" t="inlineStr">
        <is>
          <t>Instituciones, sedes, servicios, profesionales y disponibilidad read-only</t>
        </is>
      </c>
      <c r="E8" s="26" t="inlineStr">
        <is>
          <t>Completo</t>
        </is>
      </c>
      <c r="F8" s="26" t="inlineStr">
        <is>
          <t>Catálogo institucional, servicios, profesionales y disponibilidad read-only; 69/69 pruebas unitarias al cierre de Agenda Base; PostgreSQL real operativo; 7/7 migraciones aplicadas; checkpoint E2E 1/1 aprobado.</t>
        </is>
      </c>
      <c r="G8" s="26" t="inlineStr">
        <is>
          <t>Agenda Base cerrada con 8/8 tareas Done, catálogo/disponibilidad operativos y checkpoint E2E real aprobado.</t>
        </is>
      </c>
      <c r="H8" s="26" t="inlineStr">
        <is>
          <t>Mantener evidencia histórica del Sprint 4; Burndown reconstruido con evidencia Git/PR ya disponible.</t>
        </is>
      </c>
      <c r="I8" s="29" t="inlineStr">
        <is>
          <t>PostgreSQL activo; Prisma validado; fixtures E2E</t>
        </is>
      </c>
      <c r="J8" s="29" t="inlineStr">
        <is>
          <t>Sprint 4 cerrado técnicamente con 8/8 tareas. Checkpoint E2E real 1/1 y Burndown histórico documentado. La regresión global API posterior alcanza 394/394 PASS.</t>
        </is>
      </c>
    </row>
    <row r="9" ht="72" customHeight="1" s="25">
      <c r="A9" s="26" t="inlineStr">
        <is>
          <t>R0.5</t>
        </is>
      </c>
      <c r="B9" s="26" t="inlineStr">
        <is>
          <t>Sprint 5</t>
        </is>
      </c>
      <c r="C9" s="26" t="inlineStr">
        <is>
          <t>Citas y lista de espera</t>
        </is>
      </c>
      <c r="D9" s="26" t="inlineStr">
        <is>
          <t>Reserva, consulta y cancelación de citas; integración Web/API; lista de espera</t>
        </is>
      </c>
      <c r="E9" s="26" t="inlineStr">
        <is>
          <t>Completo</t>
        </is>
      </c>
      <c r="F9" s="26" t="inlineStr">
        <is>
          <t>HU-004/005/006 completadas; HU-007/008 backend implementadas; HU-021 Web de lista de espera/preferencias completada mediante PR #89. Validación: Web 56/56, development/seed 11/11 y Waitlist E2E 24/24.</t>
        </is>
      </c>
      <c r="G9" s="26" t="inlineStr">
        <is>
          <t>Flujo núcleo de citas y lista de espera disponible y validado de punta a punta en Web + API + PostgreSQL.</t>
        </is>
      </c>
      <c r="H9" s="26" t="inlineStr">
        <is>
          <t>Mantener evidencia histórica del Sprint 5 y continuar integración Web del motor de reasignación.</t>
        </is>
      </c>
      <c r="I9" s="29" t="inlineStr">
        <is>
          <t>HU-004/005/006; Auth; AgendaSlot; catálogos; PostgreSQL; apps/web; cliente HTTP centralizado; PR #43.</t>
        </is>
      </c>
      <c r="J9" s="29" t="inlineStr">
        <is>
          <t>Sprint 5 cerrado. HU-021 consolidó la experiencia Web de lista de espera y estabilizó el entorno local.</t>
        </is>
      </c>
    </row>
    <row r="10" ht="70" customHeight="1" s="25">
      <c r="A10" s="26" t="inlineStr">
        <is>
          <t>R0.6</t>
        </is>
      </c>
      <c r="B10" s="26" t="inlineStr">
        <is>
          <t>Sprint 6</t>
        </is>
      </c>
      <c r="C10" s="26" t="inlineStr">
        <is>
          <t>Motor de reasignación y notificaciones internas</t>
        </is>
      </c>
      <c r="D10" s="26" t="inlineStr">
        <is>
          <t>Candidatos, ranking, ofertas, aceptación/rechazo, expiración automática, continuidad y centro de notificaciones</t>
        </is>
      </c>
      <c r="E10" s="26" t="inlineStr">
        <is>
          <t>Completo</t>
        </is>
      </c>
      <c r="F10" s="26" t="inlineStr">
        <is>
          <t>HU-009/010/011/016/018 backend; HU-022 Web ofertas; HU-023 expiración automática (PR #96, merge 109b1c9); HU-024 notificaciones internas (PR #99, merge b1bff30). Validación automática y manual PASS.</t>
        </is>
      </c>
      <c r="G10" s="26" t="inlineStr">
        <is>
          <t>Motor de reasignación completo, expiración persistente, continuidad segura y notificaciones internas disponibles de punta a punta</t>
        </is>
      </c>
      <c r="H10" s="26" t="inlineStr">
        <is>
          <t>Mantener la evidencia histórica; los canales externos se formalizan como HU-039 Resend y HU-043 WhatsApp en Sprint 8.</t>
        </is>
      </c>
      <c r="I10" s="29" t="inlineStr">
        <is>
          <t>HU-009/010/011/016/018; apps/web; runner de expiración; Notification; PostgreSQL</t>
        </is>
      </c>
      <c r="J10" s="29" t="inlineStr">
        <is>
          <t>Sprint 6 cerrado. RF-029/RF-030/RF-034 quedan cubiertos. El backend sigue siendo fuente de verdad; los canales externos son adaptadores posteriores, no parte retroactiva del Sprint 6.</t>
        </is>
      </c>
    </row>
    <row r="11" ht="78" customHeight="1" s="25">
      <c r="A11" s="26" t="inlineStr">
        <is>
          <t>R0.7</t>
        </is>
      </c>
      <c r="B11" s="26" t="inlineStr">
        <is>
          <t>Sprint 7</t>
        </is>
      </c>
      <c r="C11" s="26" t="inlineStr">
        <is>
          <t>Aplicación institucional, operación, reportes y UX</t>
        </is>
      </c>
      <c r="D11" s="26" t="inlineStr">
        <is>
          <t>Desktop Tauri operativo para catálogo, profesionales, agenda, disponibilidad, asistencia, reasignaciones, reportes y auditoría; mejora UX Web de ofertas</t>
        </is>
      </c>
      <c r="E11" s="26" t="inlineStr">
        <is>
          <t>Completo</t>
        </is>
      </c>
      <c r="F11" s="26" t="inlineStr">
        <is>
          <t>HU-027 fundación Desktop; HU-028 autenticación/client-core; HU-029 sedes/servicios; HU-030 profesionales; HU-031 agenda; HU-032 disponibilidad/bloqueos; HU-033 asistencia; HU-034 sistema visual; HU-035 UX ofertas Web; HU-036 supervisión de reasignaciones; HU-037 reportes; HU-038 auditoría. PR #135/#139/#141/#143/#147 y validaciones manuales/automáticas registradas.</t>
        </is>
      </c>
      <c r="G11" s="26" t="inlineStr">
        <is>
          <t>Aplicación institucional consume la API con autenticación/contexto real y cubre los módulos Desktop previstos sin duplicar reglas del backend</t>
        </is>
      </c>
      <c r="H11" s="26" t="inlineStr">
        <is>
          <t>Mantener evidencia Scrum y avanzar a Sprint 8 de integraciones externas.</t>
        </is>
      </c>
      <c r="I11" s="29" t="inlineStr">
        <is>
          <t>APIs institucionales; RBAC; AuthorizationContext; Tauri HTTP; @citajusta/client-core; PostgreSQL</t>
        </is>
      </c>
      <c r="J11" s="29" t="inlineStr">
        <is>
          <t>Sprint 7 cerrado. HU-001 a HU-038 quedan Done; Desktop ya dispone de los módulos institucionales previstos y la Web recibió la modernización UX de ofertas.</t>
        </is>
      </c>
    </row>
    <row r="12" ht="145" customHeight="1" s="25">
      <c r="A12" s="26" t="inlineStr">
        <is>
          <t>R0.8</t>
        </is>
      </c>
      <c r="B12" s="26" t="inlineStr">
        <is>
          <t>Sprint 8</t>
        </is>
      </c>
      <c r="C12" s="26" t="inlineStr">
        <is>
          <t>Integraciones externas</t>
        </is>
      </c>
      <c r="D12" s="26" t="inlineStr">
        <is>
          <t>Resend, Google OAuth/OIDC, Google Calendar, OpenStreetMap y enlaces Google Maps; HU-043 retirada</t>
        </is>
      </c>
      <c r="E12" s="26" t="inlineStr">
        <is>
          <t>En progreso</t>
        </is>
      </c>
      <c r="F12" s="26" t="inlineStr">
        <is>
          <t>HU-039 #152/#153; HU-040 #155/#156; HU-041 #158/#159; HU-042 #162/#163 (Issues cerradas/PR MERGED). HU-043 retirada mediante PR #169.</t>
        </is>
      </c>
      <c r="G12" s="26" t="inlineStr">
        <is>
          <t>Integraciones de alcance vigente verificadas; cierre de Sprint mediante Review/retro y aceptación del equipo, por acreditar.</t>
        </is>
      </c>
      <c r="H12" s="26" t="inlineStr">
        <is>
          <t>Registrar cierre formal del Sprint; validar Resend V2 en Gmail y publicar la mejora por PR; aclarar cierre administrativo HU-043 #165.</t>
        </is>
      </c>
      <c r="I12" s="65" t="inlineStr">
        <is>
          <t>Resend, Google OAuth, Google Calendar, OSM, URLs Google Maps; PostgreSQL y RBAC existentes.</t>
        </is>
      </c>
      <c r="J12" s="65" t="inlineStr">
        <is>
          <t>HU-043 fuera de alcance. La Issue #165 figura CLOSED COMPLETED administrativamente; PR #169 sólo documenta retiro. No se usa Google Maps Platform API.</t>
        </is>
      </c>
    </row>
    <row r="13" ht="115" customHeight="1" s="25">
      <c r="A13" s="30" t="inlineStr">
        <is>
          <t>R1.0</t>
        </is>
      </c>
      <c r="B13" s="30" t="inlineStr">
        <is>
          <t>Sprint 9</t>
        </is>
      </c>
      <c r="C13" s="30" t="inlineStr">
        <is>
          <t>Cierre técnico y académico</t>
        </is>
      </c>
      <c r="D13" s="30" t="inlineStr">
        <is>
          <t>Docker/Docker Compose, OpenAPI, hardening/rendimiento, documentación/evidencias y preparación de defensa</t>
        </is>
      </c>
      <c r="E13" s="30" t="inlineStr">
        <is>
          <t>Pendiente</t>
        </is>
      </c>
      <c r="F13" s="30" t="inlineStr">
        <is>
          <t>API 611/611 PASS según informe V2; Web/Desktop demostrados; pruebas E2E finales y documentación Fase 2 aún pendientes.</t>
        </is>
      </c>
      <c r="G13" s="30" t="inlineStr">
        <is>
          <t>Release académica end-to-end demostrable, reproducible y documentada con evidencias verificables</t>
        </is>
      </c>
      <c r="H13" s="30" t="inlineStr">
        <is>
          <t>Completar Docker/Compose, OpenAPI, RNF, pruebas rendimiento/seguridad, evidencia ER y publicación documental; migración experimental dev pendiente.</t>
        </is>
      </c>
      <c r="I13" s="30" t="inlineStr">
        <is>
          <t>Cierre de Sprint 8; infraestructura local; documentación Scrum/Capstone</t>
        </is>
      </c>
      <c r="J13" s="30" t="inlineStr">
        <is>
          <t>Sprint 9 concentra cierres técnicos y académicos para evitar sobrecargar Sprint 8 con cinco integraciones externas más la entrega final.</t>
        </is>
      </c>
    </row>
    <row r="15">
      <c r="A15" s="66" t="inlineStr">
        <is>
          <t>Criterios de interpretación del estado</t>
        </is>
      </c>
      <c r="B15" s="63" t="n"/>
      <c r="C15" s="63" t="n"/>
      <c r="D15" s="63" t="n"/>
      <c r="E15" s="63" t="n"/>
      <c r="F15" s="63" t="n"/>
      <c r="G15" s="63" t="n"/>
      <c r="H15" s="63" t="n"/>
      <c r="I15" s="63" t="n"/>
      <c r="J15" s="64" t="n"/>
    </row>
    <row r="16" ht="71.25" customHeight="1" s="25">
      <c r="A16" s="10" t="inlineStr">
        <is>
          <t>Completo</t>
        </is>
      </c>
      <c r="B16" s="10" t="inlineStr">
        <is>
          <t>Entregable principal del Sprint disponible y verificable.</t>
        </is>
      </c>
      <c r="C16" s="10" t="inlineStr">
        <is>
          <t>Avance alto</t>
        </is>
      </c>
      <c r="D16" s="10" t="inlineStr">
        <is>
          <t>Mayor parte del objetivo implementada; quedan cierres/evidencias.</t>
        </is>
      </c>
      <c r="E16" s="26" t="inlineStr">
        <is>
          <t>Parcial</t>
        </is>
      </c>
      <c r="F16" s="10" t="inlineStr">
        <is>
          <t>Parte relevante implementada, pero faltan componentes obligatorios.</t>
        </is>
      </c>
      <c r="G16" s="10" t="inlineStr">
        <is>
          <t>Pendiente</t>
        </is>
      </c>
      <c r="H16" s="10" t="inlineStr">
        <is>
          <t>Trabajo aún no iniciado funcionalmente.</t>
        </is>
      </c>
      <c r="I16" s="10" t="inlineStr">
        <is>
          <t>Nota</t>
        </is>
      </c>
      <c r="J16" s="10" t="inlineStr">
        <is>
          <t>Los estados no equivalen a porcentaje académico oficial.</t>
        </is>
      </c>
    </row>
    <row r="17" ht="142.5" customHeight="1" s="25">
      <c r="A17" s="36" t="inlineStr">
        <is>
          <t>En progreso</t>
        </is>
      </c>
      <c r="B17" s="36" t="inlineStr">
        <is>
          <t>Sprint activo con entregables verificables ya completados y trabajo planificado aún pendiente.</t>
        </is>
      </c>
      <c r="C17" s="37" t="n"/>
      <c r="D17" s="37" t="n"/>
      <c r="E17" s="37" t="n"/>
      <c r="F17" s="37" t="n"/>
      <c r="G17" s="37" t="n"/>
      <c r="H17" s="37" t="n"/>
      <c r="I17" s="37" t="n"/>
      <c r="J17" s="37" t="n"/>
    </row>
    <row r="21" ht="15.75" customHeight="1" s="25"/>
    <row r="22" ht="15.75" customHeight="1" s="25"/>
    <row r="23" ht="15.75" customHeight="1" s="25"/>
    <row r="24" ht="15.75" customHeight="1" s="25"/>
    <row r="25" ht="15.75" customHeight="1" s="25"/>
    <row r="26" ht="15.75" customHeight="1" s="25"/>
    <row r="27" ht="15.75" customHeight="1" s="25"/>
    <row r="28" ht="15.75" customHeight="1" s="25"/>
    <row r="29" ht="15.75" customHeight="1" s="25"/>
    <row r="30" ht="15.75" customHeight="1" s="25"/>
    <row r="31" ht="15.75" customHeight="1" s="25"/>
    <row r="32" ht="15.75" customHeight="1" s="25"/>
    <row r="33" ht="15.75" customHeight="1" s="25"/>
    <row r="34" ht="15.75" customHeight="1" s="25"/>
    <row r="35" ht="15.75" customHeight="1" s="25"/>
    <row r="36" ht="15.75" customHeight="1" s="25"/>
    <row r="37" ht="15.75" customHeight="1" s="25"/>
    <row r="38" ht="15.75" customHeight="1" s="25"/>
    <row r="39" ht="15.75" customHeight="1" s="25"/>
    <row r="40" ht="15.75" customHeight="1" s="25"/>
    <row r="41" ht="15.75" customHeight="1" s="25"/>
    <row r="42" ht="15.75" customHeight="1" s="25"/>
    <row r="43" ht="15.75" customHeight="1" s="25"/>
    <row r="44" ht="15.75" customHeight="1" s="25"/>
    <row r="45" ht="15.75" customHeight="1" s="25"/>
    <row r="46" ht="15.75" customHeight="1" s="25"/>
    <row r="47" ht="15.75" customHeight="1" s="25"/>
    <row r="48" ht="15.75" customHeight="1" s="25"/>
    <row r="49" ht="15.75" customHeight="1" s="25"/>
    <row r="50" ht="15.75" customHeight="1" s="25"/>
    <row r="51" ht="15.75" customHeight="1" s="25"/>
    <row r="52" ht="15.75" customHeight="1" s="25"/>
    <row r="53" ht="15.75" customHeight="1" s="25"/>
    <row r="54" ht="15.75" customHeight="1" s="25"/>
    <row r="55" ht="15.75" customHeight="1" s="25"/>
    <row r="56" ht="15.75" customHeight="1" s="25"/>
    <row r="57" ht="15.75" customHeight="1" s="25"/>
    <row r="58" ht="15.75" customHeight="1" s="25"/>
    <row r="59" ht="15.75" customHeight="1" s="25"/>
    <row r="60" ht="15.75" customHeight="1" s="25"/>
    <row r="61" ht="15.75" customHeight="1" s="25"/>
    <row r="62" ht="15.75" customHeight="1" s="25"/>
    <row r="63" ht="15.75" customHeight="1" s="25"/>
    <row r="64" ht="15.75" customHeight="1" s="25"/>
    <row r="65" ht="15.75" customHeight="1" s="25"/>
    <row r="66" ht="15.75" customHeight="1" s="25"/>
    <row r="67" ht="15.75" customHeight="1" s="25"/>
    <row r="68" ht="15.75" customHeight="1" s="25"/>
    <row r="69" ht="15.75" customHeight="1" s="25"/>
    <row r="70" ht="15.75" customHeight="1" s="25"/>
    <row r="71" ht="15.75" customHeight="1" s="25"/>
    <row r="72" ht="15.75" customHeight="1" s="25"/>
    <row r="73" ht="15.75" customHeight="1" s="25"/>
    <row r="74" ht="15.75" customHeight="1" s="25"/>
    <row r="75" ht="15.75" customHeight="1" s="25"/>
    <row r="76" ht="15.75" customHeight="1" s="25"/>
    <row r="77" ht="15.75" customHeight="1" s="25"/>
    <row r="78" ht="15.75" customHeight="1" s="25"/>
    <row r="79" ht="15.75" customHeight="1" s="25"/>
    <row r="80" ht="15.75" customHeight="1" s="25"/>
    <row r="81" ht="15.75" customHeight="1" s="25"/>
    <row r="82" ht="15.75" customHeight="1" s="25"/>
    <row r="83" ht="15.75" customHeight="1" s="25"/>
    <row r="84" ht="15.75" customHeight="1" s="25"/>
    <row r="85" ht="15.75" customHeight="1" s="25"/>
    <row r="86" ht="15.75" customHeight="1" s="25"/>
    <row r="87" ht="15.75" customHeight="1" s="25"/>
    <row r="88" ht="15.75" customHeight="1" s="25"/>
    <row r="89" ht="15.75" customHeight="1" s="25"/>
    <row r="90" ht="15.75" customHeight="1" s="25"/>
    <row r="91" ht="15.75" customHeight="1" s="25"/>
    <row r="92" ht="15.75" customHeight="1" s="25"/>
    <row r="93" ht="15.75" customHeight="1" s="25"/>
    <row r="94" ht="15.75" customHeight="1" s="25"/>
    <row r="95" ht="15.75" customHeight="1" s="25"/>
    <row r="96" ht="15.75" customHeight="1" s="25"/>
    <row r="97" ht="15.75" customHeight="1" s="25"/>
    <row r="98" ht="15.75" customHeight="1" s="25"/>
    <row r="99" ht="15.75" customHeight="1" s="25"/>
    <row r="100" ht="15.75" customHeight="1" s="25"/>
    <row r="101" ht="15.75" customHeight="1" s="25"/>
    <row r="102" ht="15.75" customHeight="1" s="25"/>
    <row r="103" ht="15.75" customHeight="1" s="25"/>
    <row r="104" ht="15.75" customHeight="1" s="25"/>
    <row r="105" ht="15.75" customHeight="1" s="25"/>
    <row r="106" ht="15.75" customHeight="1" s="25"/>
    <row r="107" ht="15.75" customHeight="1" s="25"/>
    <row r="108" ht="15.75" customHeight="1" s="25"/>
    <row r="109" ht="15.75" customHeight="1" s="25"/>
    <row r="110" ht="15.75" customHeight="1" s="25"/>
    <row r="111" ht="15.75" customHeight="1" s="25"/>
    <row r="112" ht="15.75" customHeight="1" s="25"/>
    <row r="113" ht="15.75" customHeight="1" s="25"/>
    <row r="114" ht="15.75" customHeight="1" s="25"/>
    <row r="115" ht="15.75" customHeight="1" s="25"/>
    <row r="116" ht="15.75" customHeight="1" s="25"/>
    <row r="117" ht="15.75" customHeight="1" s="25"/>
    <row r="118" ht="15.75" customHeight="1" s="25"/>
    <row r="119" ht="15.75" customHeight="1" s="25"/>
    <row r="120" ht="15.75" customHeight="1" s="25"/>
    <row r="121" ht="15.75" customHeight="1" s="25"/>
    <row r="122" ht="15.75" customHeight="1" s="25"/>
    <row r="123" ht="15.75" customHeight="1" s="25"/>
    <row r="124" ht="15.75" customHeight="1" s="25"/>
    <row r="125" ht="15.75" customHeight="1" s="25"/>
    <row r="126" ht="15.75" customHeight="1" s="25"/>
    <row r="127" ht="15.75" customHeight="1" s="25"/>
    <row r="128" ht="15.75" customHeight="1" s="25"/>
    <row r="129" ht="15.75" customHeight="1" s="25"/>
    <row r="130" ht="15.75" customHeight="1" s="25"/>
    <row r="131" ht="15.75" customHeight="1" s="25"/>
    <row r="132" ht="15.75" customHeight="1" s="25"/>
    <row r="133" ht="15.75" customHeight="1" s="25"/>
    <row r="134" ht="15.75" customHeight="1" s="25"/>
    <row r="135" ht="15.75" customHeight="1" s="25"/>
    <row r="136" ht="15.75" customHeight="1" s="25"/>
    <row r="137" ht="15.75" customHeight="1" s="25"/>
    <row r="138" ht="15.75" customHeight="1" s="25"/>
    <row r="139" ht="15.75" customHeight="1" s="25"/>
    <row r="140" ht="15.75" customHeight="1" s="25"/>
    <row r="141" ht="15.75" customHeight="1" s="25"/>
    <row r="142" ht="15.75" customHeight="1" s="25"/>
    <row r="143" ht="15.75" customHeight="1" s="25"/>
    <row r="144" ht="15.75" customHeight="1" s="25"/>
    <row r="145" ht="15.75" customHeight="1" s="25"/>
    <row r="146" ht="15.75" customHeight="1" s="25"/>
    <row r="147" ht="15.75" customHeight="1" s="25"/>
    <row r="148" ht="15.75" customHeight="1" s="25"/>
    <row r="149" ht="15.75" customHeight="1" s="25"/>
    <row r="150" ht="15.75" customHeight="1" s="25"/>
    <row r="151" ht="15.75" customHeight="1" s="25"/>
    <row r="152" ht="15.75" customHeight="1" s="25"/>
    <row r="153" ht="15.75" customHeight="1" s="25"/>
    <row r="154" ht="15.75" customHeight="1" s="25"/>
    <row r="155" ht="15.75" customHeight="1" s="25"/>
    <row r="156" ht="15.75" customHeight="1" s="25"/>
    <row r="157" ht="15.75" customHeight="1" s="25"/>
    <row r="158" ht="15.75" customHeight="1" s="25"/>
    <row r="159" ht="15.75" customHeight="1" s="25"/>
    <row r="160" ht="15.75" customHeight="1" s="25"/>
    <row r="161" ht="15.75" customHeight="1" s="25"/>
    <row r="162" ht="15.75" customHeight="1" s="25"/>
    <row r="163" ht="15.75" customHeight="1" s="25"/>
    <row r="164" ht="15.75" customHeight="1" s="25"/>
    <row r="165" ht="15.75" customHeight="1" s="25"/>
    <row r="166" ht="15.75" customHeight="1" s="25"/>
    <row r="167" ht="15.75" customHeight="1" s="25"/>
    <row r="168" ht="15.75" customHeight="1" s="25"/>
    <row r="169" ht="15.75" customHeight="1" s="25"/>
    <row r="170" ht="15.75" customHeight="1" s="25"/>
    <row r="171" ht="15.75" customHeight="1" s="25"/>
    <row r="172" ht="15.75" customHeight="1" s="25"/>
    <row r="173" ht="15.75" customHeight="1" s="25"/>
    <row r="174" ht="15.75" customHeight="1" s="25"/>
    <row r="175" ht="15.75" customHeight="1" s="25"/>
    <row r="176" ht="15.75" customHeight="1" s="25"/>
    <row r="177" ht="15.75" customHeight="1" s="25"/>
    <row r="178" ht="15.75" customHeight="1" s="25"/>
    <row r="179" ht="15.75" customHeight="1" s="25"/>
    <row r="180" ht="15.75" customHeight="1" s="25"/>
    <row r="181" ht="15.75" customHeight="1" s="25"/>
    <row r="182" ht="15.75" customHeight="1" s="25"/>
    <row r="183" ht="15.75" customHeight="1" s="25"/>
    <row r="184" ht="15.75" customHeight="1" s="25"/>
    <row r="185" ht="15.75" customHeight="1" s="25"/>
    <row r="186" ht="15.75" customHeight="1" s="25"/>
    <row r="187" ht="15.75" customHeight="1" s="25"/>
    <row r="188" ht="15.75" customHeight="1" s="25"/>
    <row r="189" ht="15.75" customHeight="1" s="25"/>
    <row r="190" ht="15.75" customHeight="1" s="25"/>
    <row r="191" ht="15.75" customHeight="1" s="25"/>
    <row r="192" ht="15.75" customHeight="1" s="25"/>
    <row r="193" ht="15.75" customHeight="1" s="25"/>
    <row r="194" ht="15.75" customHeight="1" s="25"/>
    <row r="195" ht="15.75" customHeight="1" s="25"/>
    <row r="196" ht="15.75" customHeight="1" s="25"/>
    <row r="197" ht="15.75" customHeight="1" s="25"/>
    <row r="198" ht="15.75" customHeight="1" s="25"/>
    <row r="199" ht="15.75" customHeight="1" s="25"/>
    <row r="200" ht="15.75" customHeight="1" s="25"/>
    <row r="201" ht="15.75" customHeight="1" s="25"/>
    <row r="202" ht="15.75" customHeight="1" s="25"/>
    <row r="203" ht="15.75" customHeight="1" s="25"/>
    <row r="204" ht="15.75" customHeight="1" s="25"/>
    <row r="205" ht="15.75" customHeight="1" s="25"/>
    <row r="206" ht="15.75" customHeight="1" s="25"/>
    <row r="207" ht="15.75" customHeight="1" s="25"/>
    <row r="208" ht="15.75" customHeight="1" s="25"/>
    <row r="209" ht="15.75" customHeight="1" s="25"/>
    <row r="210" ht="15.75" customHeight="1" s="25"/>
    <row r="211" ht="15.75" customHeight="1" s="25"/>
    <row r="212" ht="15.75" customHeight="1" s="25"/>
    <row r="213" ht="15.75" customHeight="1" s="25"/>
    <row r="214" ht="15.75" customHeight="1" s="25"/>
    <row r="215" ht="15.75" customHeight="1" s="25"/>
    <row r="216" ht="15.75" customHeight="1" s="25"/>
    <row r="217" ht="15.75" customHeight="1" s="25"/>
    <row r="218" ht="15.75" customHeight="1" s="25"/>
    <row r="219" ht="15.75" customHeight="1" s="25"/>
    <row r="220" ht="15.75" customHeight="1" s="25"/>
    <row r="221" ht="15.75" customHeight="1" s="25"/>
    <row r="222" ht="15.75" customHeight="1" s="25"/>
    <row r="223" ht="15.75" customHeight="1" s="25"/>
    <row r="224" ht="15.75" customHeight="1" s="25"/>
    <row r="225" ht="15.75" customHeight="1" s="25"/>
    <row r="226" ht="15.75" customHeight="1" s="25"/>
    <row r="227" ht="15.75" customHeight="1" s="25"/>
    <row r="228" ht="15.75" customHeight="1" s="25"/>
    <row r="229" ht="15.75" customHeight="1" s="25"/>
    <row r="230" ht="15.75" customHeight="1" s="25"/>
    <row r="231" ht="15.75" customHeight="1" s="25"/>
    <row r="232" ht="15.75" customHeight="1" s="25"/>
    <row r="233" ht="15.75" customHeight="1" s="25"/>
    <row r="234" ht="15.75" customHeight="1" s="25"/>
    <row r="235" ht="15.75" customHeight="1" s="25"/>
    <row r="236" ht="15.75" customHeight="1" s="25"/>
    <row r="237" ht="15.75" customHeight="1" s="25"/>
    <row r="238" ht="15.75" customHeight="1" s="25"/>
    <row r="239" ht="15.75" customHeight="1" s="25"/>
    <row r="240" ht="15.75" customHeight="1" s="25"/>
    <row r="241" ht="15.75" customHeight="1" s="25"/>
    <row r="242" ht="15.75" customHeight="1" s="25"/>
    <row r="243" ht="15.75" customHeight="1" s="25"/>
    <row r="244" ht="15.75" customHeight="1" s="25"/>
    <row r="245" ht="15.75" customHeight="1" s="25"/>
    <row r="246" ht="15.75" customHeight="1" s="25"/>
    <row r="247" ht="15.75" customHeight="1" s="25"/>
    <row r="248" ht="15.75" customHeight="1" s="25"/>
    <row r="249" ht="15.75" customHeight="1" s="25"/>
    <row r="250" ht="15.75" customHeight="1" s="25"/>
    <row r="251" ht="15.75" customHeight="1" s="25"/>
    <row r="252" ht="15.75" customHeight="1" s="25"/>
    <row r="253" ht="15.75" customHeight="1" s="25"/>
    <row r="254" ht="15.75" customHeight="1" s="25"/>
    <row r="255" ht="15.75" customHeight="1" s="25"/>
    <row r="256" ht="15.75" customHeight="1" s="25"/>
    <row r="257" ht="15.75" customHeight="1" s="25"/>
    <row r="258" ht="15.75" customHeight="1" s="25"/>
    <row r="259" ht="15.75" customHeight="1" s="25"/>
    <row r="260" ht="15.75" customHeight="1" s="25"/>
    <row r="261" ht="15.75" customHeight="1" s="25"/>
    <row r="262" ht="15.75" customHeight="1" s="25"/>
    <row r="263" ht="15.75" customHeight="1" s="25"/>
    <row r="264" ht="15.75" customHeight="1" s="25"/>
    <row r="265" ht="15.75" customHeight="1" s="25"/>
    <row r="266" ht="15.75" customHeight="1" s="25"/>
    <row r="267" ht="15.75" customHeight="1" s="25"/>
    <row r="268" ht="15.75" customHeight="1" s="25"/>
    <row r="269" ht="15.75" customHeight="1" s="25"/>
    <row r="270" ht="15.75" customHeight="1" s="25"/>
    <row r="271" ht="15.75" customHeight="1" s="25"/>
    <row r="272" ht="15.75" customHeight="1" s="25"/>
    <row r="273" ht="15.75" customHeight="1" s="25"/>
    <row r="274" ht="15.75" customHeight="1" s="25"/>
    <row r="275" ht="15.75" customHeight="1" s="25"/>
    <row r="276" ht="15.75" customHeight="1" s="25"/>
    <row r="277" ht="15.75" customHeight="1" s="25"/>
    <row r="278" ht="15.75" customHeight="1" s="25"/>
    <row r="279" ht="15.75" customHeight="1" s="25"/>
    <row r="280" ht="15.75" customHeight="1" s="25"/>
    <row r="281" ht="15.75" customHeight="1" s="25"/>
    <row r="282" ht="15.75" customHeight="1" s="25"/>
    <row r="283" ht="15.75" customHeight="1" s="25"/>
    <row r="284" ht="15.75" customHeight="1" s="25"/>
    <row r="285" ht="15.75" customHeight="1" s="25"/>
    <row r="286" ht="15.75" customHeight="1" s="25"/>
    <row r="287" ht="15.75" customHeight="1" s="25"/>
    <row r="288" ht="15.75" customHeight="1" s="25"/>
    <row r="289" ht="15.75" customHeight="1" s="25"/>
    <row r="290" ht="15.75" customHeight="1" s="25"/>
    <row r="291" ht="15.75" customHeight="1" s="25"/>
    <row r="292" ht="15.75" customHeight="1" s="25"/>
    <row r="293" ht="15.75" customHeight="1" s="25"/>
    <row r="294" ht="15.75" customHeight="1" s="25"/>
    <row r="295" ht="15.75" customHeight="1" s="25"/>
    <row r="296" ht="15.75" customHeight="1" s="25"/>
    <row r="297" ht="15.75" customHeight="1" s="25"/>
    <row r="298" ht="15.75" customHeight="1" s="25"/>
    <row r="299" ht="15.75" customHeight="1" s="25"/>
    <row r="300" ht="15.75" customHeight="1" s="25"/>
    <row r="301" ht="15.75" customHeight="1" s="25"/>
    <row r="302" ht="15.75" customHeight="1" s="25"/>
    <row r="303" ht="15.75" customHeight="1" s="25"/>
    <row r="304" ht="15.75" customHeight="1" s="25"/>
    <row r="305" ht="15.75" customHeight="1" s="25"/>
    <row r="306" ht="15.75" customHeight="1" s="25"/>
    <row r="307" ht="15.75" customHeight="1" s="25"/>
    <row r="308" ht="15.75" customHeight="1" s="25"/>
    <row r="309" ht="15.75" customHeight="1" s="25"/>
    <row r="310" ht="15.75" customHeight="1" s="25"/>
    <row r="311" ht="15.75" customHeight="1" s="25"/>
    <row r="312" ht="15.75" customHeight="1" s="25"/>
    <row r="313" ht="15.75" customHeight="1" s="25"/>
    <row r="314" ht="15.75" customHeight="1" s="25"/>
    <row r="315" ht="15.75" customHeight="1" s="25"/>
    <row r="316" ht="15.75" customHeight="1" s="25"/>
    <row r="317" ht="15.75" customHeight="1" s="25"/>
    <row r="318" ht="15.75" customHeight="1" s="25"/>
    <row r="319" ht="15.75" customHeight="1" s="25"/>
    <row r="320" ht="15.75" customHeight="1" s="25"/>
    <row r="321" ht="15.75" customHeight="1" s="25"/>
    <row r="322" ht="15.75" customHeight="1" s="25"/>
    <row r="323" ht="15.75" customHeight="1" s="25"/>
    <row r="324" ht="15.75" customHeight="1" s="25"/>
    <row r="325" ht="15.75" customHeight="1" s="25"/>
    <row r="326" ht="15.75" customHeight="1" s="25"/>
    <row r="327" ht="15.75" customHeight="1" s="25"/>
    <row r="328" ht="15.75" customHeight="1" s="25"/>
    <row r="329" ht="15.75" customHeight="1" s="25"/>
    <row r="330" ht="15.75" customHeight="1" s="25"/>
    <row r="331" ht="15.75" customHeight="1" s="25"/>
    <row r="332" ht="15.75" customHeight="1" s="25"/>
    <row r="333" ht="15.75" customHeight="1" s="25"/>
    <row r="334" ht="15.75" customHeight="1" s="25"/>
    <row r="335" ht="15.75" customHeight="1" s="25"/>
    <row r="336" ht="15.75" customHeight="1" s="25"/>
    <row r="337" ht="15.75" customHeight="1" s="25"/>
    <row r="338" ht="15.75" customHeight="1" s="25"/>
    <row r="339" ht="15.75" customHeight="1" s="25"/>
    <row r="340" ht="15.75" customHeight="1" s="25"/>
    <row r="341" ht="15.75" customHeight="1" s="25"/>
    <row r="342" ht="15.75" customHeight="1" s="25"/>
    <row r="343" ht="15.75" customHeight="1" s="25"/>
    <row r="344" ht="15.75" customHeight="1" s="25"/>
    <row r="345" ht="15.75" customHeight="1" s="25"/>
    <row r="346" ht="15.75" customHeight="1" s="25"/>
    <row r="347" ht="15.75" customHeight="1" s="25"/>
    <row r="348" ht="15.75" customHeight="1" s="25"/>
    <row r="349" ht="15.75" customHeight="1" s="25"/>
    <row r="350" ht="15.75" customHeight="1" s="25"/>
    <row r="351" ht="15.75" customHeight="1" s="25"/>
    <row r="352" ht="15.75" customHeight="1" s="25"/>
    <row r="353" ht="15.75" customHeight="1" s="25"/>
    <row r="354" ht="15.75" customHeight="1" s="25"/>
    <row r="355" ht="15.75" customHeight="1" s="25"/>
    <row r="356" ht="15.75" customHeight="1" s="25"/>
    <row r="357" ht="15.75" customHeight="1" s="25"/>
    <row r="358" ht="15.75" customHeight="1" s="25"/>
    <row r="359" ht="15.75" customHeight="1" s="25"/>
    <row r="360" ht="15.75" customHeight="1" s="25"/>
    <row r="361" ht="15.75" customHeight="1" s="25"/>
    <row r="362" ht="15.75" customHeight="1" s="25"/>
    <row r="363" ht="15.75" customHeight="1" s="25"/>
    <row r="364" ht="15.75" customHeight="1" s="25"/>
    <row r="365" ht="15.75" customHeight="1" s="25"/>
    <row r="366" ht="15.75" customHeight="1" s="25"/>
    <row r="367" ht="15.75" customHeight="1" s="25"/>
    <row r="368" ht="15.75" customHeight="1" s="25"/>
    <row r="369" ht="15.75" customHeight="1" s="25"/>
    <row r="370" ht="15.75" customHeight="1" s="25"/>
    <row r="371" ht="15.75" customHeight="1" s="25"/>
    <row r="372" ht="15.75" customHeight="1" s="25"/>
    <row r="373" ht="15.75" customHeight="1" s="25"/>
    <row r="374" ht="15.75" customHeight="1" s="25"/>
    <row r="375" ht="15.75" customHeight="1" s="25"/>
    <row r="376" ht="15.75" customHeight="1" s="25"/>
    <row r="377" ht="15.75" customHeight="1" s="25"/>
    <row r="378" ht="15.75" customHeight="1" s="25"/>
    <row r="379" ht="15.75" customHeight="1" s="25"/>
    <row r="380" ht="15.75" customHeight="1" s="25"/>
    <row r="381" ht="15.75" customHeight="1" s="25"/>
    <row r="382" ht="15.75" customHeight="1" s="25"/>
    <row r="383" ht="15.75" customHeight="1" s="25"/>
    <row r="384" ht="15.75" customHeight="1" s="25"/>
    <row r="385" ht="15.75" customHeight="1" s="25"/>
    <row r="386" ht="15.75" customHeight="1" s="25"/>
    <row r="387" ht="15.75" customHeight="1" s="25"/>
    <row r="388" ht="15.75" customHeight="1" s="25"/>
    <row r="389" ht="15.75" customHeight="1" s="25"/>
    <row r="390" ht="15.75" customHeight="1" s="25"/>
    <row r="391" ht="15.75" customHeight="1" s="25"/>
    <row r="392" ht="15.75" customHeight="1" s="25"/>
    <row r="393" ht="15.75" customHeight="1" s="25"/>
    <row r="394" ht="15.75" customHeight="1" s="25"/>
    <row r="395" ht="15.75" customHeight="1" s="25"/>
    <row r="396" ht="15.75" customHeight="1" s="25"/>
    <row r="397" ht="15.75" customHeight="1" s="25"/>
    <row r="398" ht="15.75" customHeight="1" s="25"/>
    <row r="399" ht="15.75" customHeight="1" s="25"/>
    <row r="400" ht="15.75" customHeight="1" s="25"/>
    <row r="401" ht="15.75" customHeight="1" s="25"/>
    <row r="402" ht="15.75" customHeight="1" s="25"/>
    <row r="403" ht="15.75" customHeight="1" s="25"/>
    <row r="404" ht="15.75" customHeight="1" s="25"/>
    <row r="405" ht="15.75" customHeight="1" s="25"/>
    <row r="406" ht="15.75" customHeight="1" s="25"/>
    <row r="407" ht="15.75" customHeight="1" s="25"/>
    <row r="408" ht="15.75" customHeight="1" s="25"/>
    <row r="409" ht="15.75" customHeight="1" s="25"/>
    <row r="410" ht="15.75" customHeight="1" s="25"/>
    <row r="411" ht="15.75" customHeight="1" s="25"/>
    <row r="412" ht="15.75" customHeight="1" s="25"/>
    <row r="413" ht="15.75" customHeight="1" s="25"/>
    <row r="414" ht="15.75" customHeight="1" s="25"/>
    <row r="415" ht="15.75" customHeight="1" s="25"/>
    <row r="416" ht="15.75" customHeight="1" s="25"/>
    <row r="417" ht="15.75" customHeight="1" s="25"/>
    <row r="418" ht="15.75" customHeight="1" s="25"/>
    <row r="419" ht="15.75" customHeight="1" s="25"/>
    <row r="420" ht="15.75" customHeight="1" s="25"/>
    <row r="421" ht="15.75" customHeight="1" s="25"/>
    <row r="422" ht="15.75" customHeight="1" s="25"/>
    <row r="423" ht="15.75" customHeight="1" s="25"/>
    <row r="424" ht="15.75" customHeight="1" s="25"/>
    <row r="425" ht="15.75" customHeight="1" s="25"/>
    <row r="426" ht="15.75" customHeight="1" s="25"/>
    <row r="427" ht="15.75" customHeight="1" s="25"/>
    <row r="428" ht="15.75" customHeight="1" s="25"/>
    <row r="429" ht="15.75" customHeight="1" s="25"/>
    <row r="430" ht="15.75" customHeight="1" s="25"/>
    <row r="431" ht="15.75" customHeight="1" s="25"/>
    <row r="432" ht="15.75" customHeight="1" s="25"/>
    <row r="433" ht="15.75" customHeight="1" s="25"/>
    <row r="434" ht="15.75" customHeight="1" s="25"/>
    <row r="435" ht="15.75" customHeight="1" s="25"/>
    <row r="436" ht="15.75" customHeight="1" s="25"/>
    <row r="437" ht="15.75" customHeight="1" s="25"/>
    <row r="438" ht="15.75" customHeight="1" s="25"/>
    <row r="439" ht="15.75" customHeight="1" s="25"/>
    <row r="440" ht="15.75" customHeight="1" s="25"/>
    <row r="441" ht="15.75" customHeight="1" s="25"/>
    <row r="442" ht="15.75" customHeight="1" s="25"/>
    <row r="443" ht="15.75" customHeight="1" s="25"/>
    <row r="444" ht="15.75" customHeight="1" s="25"/>
    <row r="445" ht="15.75" customHeight="1" s="25"/>
    <row r="446" ht="15.75" customHeight="1" s="25"/>
    <row r="447" ht="15.75" customHeight="1" s="25"/>
    <row r="448" ht="15.75" customHeight="1" s="25"/>
    <row r="449" ht="15.75" customHeight="1" s="25"/>
    <row r="450" ht="15.75" customHeight="1" s="25"/>
    <row r="451" ht="15.75" customHeight="1" s="25"/>
    <row r="452" ht="15.75" customHeight="1" s="25"/>
    <row r="453" ht="15.75" customHeight="1" s="25"/>
    <row r="454" ht="15.75" customHeight="1" s="25"/>
    <row r="455" ht="15.75" customHeight="1" s="25"/>
    <row r="456" ht="15.75" customHeight="1" s="25"/>
    <row r="457" ht="15.75" customHeight="1" s="25"/>
    <row r="458" ht="15.75" customHeight="1" s="25"/>
    <row r="459" ht="15.75" customHeight="1" s="25"/>
    <row r="460" ht="15.75" customHeight="1" s="25"/>
    <row r="461" ht="15.75" customHeight="1" s="25"/>
    <row r="462" ht="15.75" customHeight="1" s="25"/>
    <row r="463" ht="15.75" customHeight="1" s="25"/>
    <row r="464" ht="15.75" customHeight="1" s="25"/>
    <row r="465" ht="15.75" customHeight="1" s="25"/>
    <row r="466" ht="15.75" customHeight="1" s="25"/>
    <row r="467" ht="15.75" customHeight="1" s="25"/>
    <row r="468" ht="15.75" customHeight="1" s="25"/>
    <row r="469" ht="15.75" customHeight="1" s="25"/>
    <row r="470" ht="15.75" customHeight="1" s="25"/>
    <row r="471" ht="15.75" customHeight="1" s="25"/>
    <row r="472" ht="15.75" customHeight="1" s="25"/>
    <row r="473" ht="15.75" customHeight="1" s="25"/>
    <row r="474" ht="15.75" customHeight="1" s="25"/>
    <row r="475" ht="15.75" customHeight="1" s="25"/>
    <row r="476" ht="15.75" customHeight="1" s="25"/>
    <row r="477" ht="15.75" customHeight="1" s="25"/>
    <row r="478" ht="15.75" customHeight="1" s="25"/>
    <row r="479" ht="15.75" customHeight="1" s="25"/>
    <row r="480" ht="15.75" customHeight="1" s="25"/>
    <row r="481" ht="15.75" customHeight="1" s="25"/>
    <row r="482" ht="15.75" customHeight="1" s="25"/>
    <row r="483" ht="15.75" customHeight="1" s="25"/>
    <row r="484" ht="15.75" customHeight="1" s="25"/>
    <row r="485" ht="15.75" customHeight="1" s="25"/>
    <row r="486" ht="15.75" customHeight="1" s="25"/>
    <row r="487" ht="15.75" customHeight="1" s="25"/>
    <row r="488" ht="15.75" customHeight="1" s="25"/>
    <row r="489" ht="15.75" customHeight="1" s="25"/>
    <row r="490" ht="15.75" customHeight="1" s="25"/>
    <row r="491" ht="15.75" customHeight="1" s="25"/>
    <row r="492" ht="15.75" customHeight="1" s="25"/>
    <row r="493" ht="15.75" customHeight="1" s="25"/>
    <row r="494" ht="15.75" customHeight="1" s="25"/>
    <row r="495" ht="15.75" customHeight="1" s="25"/>
    <row r="496" ht="15.75" customHeight="1" s="25"/>
    <row r="497" ht="15.75" customHeight="1" s="25"/>
    <row r="498" ht="15.75" customHeight="1" s="25"/>
    <row r="499" ht="15.75" customHeight="1" s="25"/>
    <row r="500" ht="15.75" customHeight="1" s="25"/>
    <row r="501" ht="15.75" customHeight="1" s="25"/>
    <row r="502" ht="15.75" customHeight="1" s="25"/>
    <row r="503" ht="15.75" customHeight="1" s="25"/>
    <row r="504" ht="15.75" customHeight="1" s="25"/>
    <row r="505" ht="15.75" customHeight="1" s="25"/>
    <row r="506" ht="15.75" customHeight="1" s="25"/>
    <row r="507" ht="15.75" customHeight="1" s="25"/>
    <row r="508" ht="15.75" customHeight="1" s="25"/>
    <row r="509" ht="15.75" customHeight="1" s="25"/>
    <row r="510" ht="15.75" customHeight="1" s="25"/>
    <row r="511" ht="15.75" customHeight="1" s="25"/>
    <row r="512" ht="15.75" customHeight="1" s="25"/>
    <row r="513" ht="15.75" customHeight="1" s="25"/>
    <row r="514" ht="15.75" customHeight="1" s="25"/>
    <row r="515" ht="15.75" customHeight="1" s="25"/>
    <row r="516" ht="15.75" customHeight="1" s="25"/>
    <row r="517" ht="15.75" customHeight="1" s="25"/>
    <row r="518" ht="15.75" customHeight="1" s="25"/>
    <row r="519" ht="15.75" customHeight="1" s="25"/>
    <row r="520" ht="15.75" customHeight="1" s="25"/>
    <row r="521" ht="15.75" customHeight="1" s="25"/>
    <row r="522" ht="15.75" customHeight="1" s="25"/>
    <row r="523" ht="15.75" customHeight="1" s="25"/>
    <row r="524" ht="15.75" customHeight="1" s="25"/>
    <row r="525" ht="15.75" customHeight="1" s="25"/>
    <row r="526" ht="15.75" customHeight="1" s="25"/>
    <row r="527" ht="15.75" customHeight="1" s="25"/>
    <row r="528" ht="15.75" customHeight="1" s="25"/>
    <row r="529" ht="15.75" customHeight="1" s="25"/>
    <row r="530" ht="15.75" customHeight="1" s="25"/>
    <row r="531" ht="15.75" customHeight="1" s="25"/>
    <row r="532" ht="15.75" customHeight="1" s="25"/>
    <row r="533" ht="15.75" customHeight="1" s="25"/>
    <row r="534" ht="15.75" customHeight="1" s="25"/>
    <row r="535" ht="15.75" customHeight="1" s="25"/>
    <row r="536" ht="15.75" customHeight="1" s="25"/>
    <row r="537" ht="15.75" customHeight="1" s="25"/>
    <row r="538" ht="15.75" customHeight="1" s="25"/>
    <row r="539" ht="15.75" customHeight="1" s="25"/>
    <row r="540" ht="15.75" customHeight="1" s="25"/>
    <row r="541" ht="15.75" customHeight="1" s="25"/>
    <row r="542" ht="15.75" customHeight="1" s="25"/>
    <row r="543" ht="15.75" customHeight="1" s="25"/>
    <row r="544" ht="15.75" customHeight="1" s="25"/>
    <row r="545" ht="15.75" customHeight="1" s="25"/>
    <row r="546" ht="15.75" customHeight="1" s="25"/>
    <row r="547" ht="15.75" customHeight="1" s="25"/>
    <row r="548" ht="15.75" customHeight="1" s="25"/>
    <row r="549" ht="15.75" customHeight="1" s="25"/>
    <row r="550" ht="15.75" customHeight="1" s="25"/>
    <row r="551" ht="15.75" customHeight="1" s="25"/>
    <row r="552" ht="15.75" customHeight="1" s="25"/>
    <row r="553" ht="15.75" customHeight="1" s="25"/>
    <row r="554" ht="15.75" customHeight="1" s="25"/>
    <row r="555" ht="15.75" customHeight="1" s="25"/>
    <row r="556" ht="15.75" customHeight="1" s="25"/>
    <row r="557" ht="15.75" customHeight="1" s="25"/>
    <row r="558" ht="15.75" customHeight="1" s="25"/>
    <row r="559" ht="15.75" customHeight="1" s="25"/>
    <row r="560" ht="15.75" customHeight="1" s="25"/>
    <row r="561" ht="15.75" customHeight="1" s="25"/>
    <row r="562" ht="15.75" customHeight="1" s="25"/>
    <row r="563" ht="15.75" customHeight="1" s="25"/>
    <row r="564" ht="15.75" customHeight="1" s="25"/>
    <row r="565" ht="15.75" customHeight="1" s="25"/>
    <row r="566" ht="15.75" customHeight="1" s="25"/>
    <row r="567" ht="15.75" customHeight="1" s="25"/>
    <row r="568" ht="15.75" customHeight="1" s="25"/>
    <row r="569" ht="15.75" customHeight="1" s="25"/>
    <row r="570" ht="15.75" customHeight="1" s="25"/>
    <row r="571" ht="15.75" customHeight="1" s="25"/>
    <row r="572" ht="15.75" customHeight="1" s="25"/>
    <row r="573" ht="15.75" customHeight="1" s="25"/>
    <row r="574" ht="15.75" customHeight="1" s="25"/>
    <row r="575" ht="15.75" customHeight="1" s="25"/>
    <row r="576" ht="15.75" customHeight="1" s="25"/>
    <row r="577" ht="15.75" customHeight="1" s="25"/>
    <row r="578" ht="15.75" customHeight="1" s="25"/>
    <row r="579" ht="15.75" customHeight="1" s="25"/>
    <row r="580" ht="15.75" customHeight="1" s="25"/>
    <row r="581" ht="15.75" customHeight="1" s="25"/>
    <row r="582" ht="15.75" customHeight="1" s="25"/>
    <row r="583" ht="15.75" customHeight="1" s="25"/>
    <row r="584" ht="15.75" customHeight="1" s="25"/>
    <row r="585" ht="15.75" customHeight="1" s="25"/>
    <row r="586" ht="15.75" customHeight="1" s="25"/>
    <row r="587" ht="15.75" customHeight="1" s="25"/>
    <row r="588" ht="15.75" customHeight="1" s="25"/>
    <row r="589" ht="15.75" customHeight="1" s="25"/>
    <row r="590" ht="15.75" customHeight="1" s="25"/>
    <row r="591" ht="15.75" customHeight="1" s="25"/>
    <row r="592" ht="15.75" customHeight="1" s="25"/>
    <row r="593" ht="15.75" customHeight="1" s="25"/>
    <row r="594" ht="15.75" customHeight="1" s="25"/>
    <row r="595" ht="15.75" customHeight="1" s="25"/>
    <row r="596" ht="15.75" customHeight="1" s="25"/>
    <row r="597" ht="15.75" customHeight="1" s="25"/>
    <row r="598" ht="15.75" customHeight="1" s="25"/>
    <row r="599" ht="15.75" customHeight="1" s="25"/>
    <row r="600" ht="15.75" customHeight="1" s="25"/>
    <row r="601" ht="15.75" customHeight="1" s="25"/>
    <row r="602" ht="15.75" customHeight="1" s="25"/>
    <row r="603" ht="15.75" customHeight="1" s="25"/>
    <row r="604" ht="15.75" customHeight="1" s="25"/>
    <row r="605" ht="15.75" customHeight="1" s="25"/>
    <row r="606" ht="15.75" customHeight="1" s="25"/>
    <row r="607" ht="15.75" customHeight="1" s="25"/>
    <row r="608" ht="15.75" customHeight="1" s="25"/>
    <row r="609" ht="15.75" customHeight="1" s="25"/>
    <row r="610" ht="15.75" customHeight="1" s="25"/>
    <row r="611" ht="15.75" customHeight="1" s="25"/>
    <row r="612" ht="15.75" customHeight="1" s="25"/>
    <row r="613" ht="15.75" customHeight="1" s="25"/>
    <row r="614" ht="15.75" customHeight="1" s="25"/>
    <row r="615" ht="15.75" customHeight="1" s="25"/>
    <row r="616" ht="15.75" customHeight="1" s="25"/>
    <row r="617" ht="15.75" customHeight="1" s="25"/>
    <row r="618" ht="15.75" customHeight="1" s="25"/>
    <row r="619" ht="15.75" customHeight="1" s="25"/>
    <row r="620" ht="15.75" customHeight="1" s="25"/>
    <row r="621" ht="15.75" customHeight="1" s="25"/>
    <row r="622" ht="15.75" customHeight="1" s="25"/>
    <row r="623" ht="15.75" customHeight="1" s="25"/>
    <row r="624" ht="15.75" customHeight="1" s="25"/>
    <row r="625" ht="15.75" customHeight="1" s="25"/>
    <row r="626" ht="15.75" customHeight="1" s="25"/>
    <row r="627" ht="15.75" customHeight="1" s="25"/>
    <row r="628" ht="15.75" customHeight="1" s="25"/>
    <row r="629" ht="15.75" customHeight="1" s="25"/>
    <row r="630" ht="15.75" customHeight="1" s="25"/>
    <row r="631" ht="15.75" customHeight="1" s="25"/>
    <row r="632" ht="15.75" customHeight="1" s="25"/>
    <row r="633" ht="15.75" customHeight="1" s="25"/>
    <row r="634" ht="15.75" customHeight="1" s="25"/>
    <row r="635" ht="15.75" customHeight="1" s="25"/>
    <row r="636" ht="15.75" customHeight="1" s="25"/>
    <row r="637" ht="15.75" customHeight="1" s="25"/>
    <row r="638" ht="15.75" customHeight="1" s="25"/>
    <row r="639" ht="15.75" customHeight="1" s="25"/>
    <row r="640" ht="15.75" customHeight="1" s="25"/>
    <row r="641" ht="15.75" customHeight="1" s="25"/>
    <row r="642" ht="15.75" customHeight="1" s="25"/>
    <row r="643" ht="15.75" customHeight="1" s="25"/>
    <row r="644" ht="15.75" customHeight="1" s="25"/>
    <row r="645" ht="15.75" customHeight="1" s="25"/>
    <row r="646" ht="15.75" customHeight="1" s="25"/>
    <row r="647" ht="15.75" customHeight="1" s="25"/>
    <row r="648" ht="15.75" customHeight="1" s="25"/>
    <row r="649" ht="15.75" customHeight="1" s="25"/>
    <row r="650" ht="15.75" customHeight="1" s="25"/>
    <row r="651" ht="15.75" customHeight="1" s="25"/>
    <row r="652" ht="15.75" customHeight="1" s="25"/>
    <row r="653" ht="15.75" customHeight="1" s="25"/>
    <row r="654" ht="15.75" customHeight="1" s="25"/>
    <row r="655" ht="15.75" customHeight="1" s="25"/>
    <row r="656" ht="15.75" customHeight="1" s="25"/>
    <row r="657" ht="15.75" customHeight="1" s="25"/>
    <row r="658" ht="15.75" customHeight="1" s="25"/>
    <row r="659" ht="15.75" customHeight="1" s="25"/>
    <row r="660" ht="15.75" customHeight="1" s="25"/>
    <row r="661" ht="15.75" customHeight="1" s="25"/>
    <row r="662" ht="15.75" customHeight="1" s="25"/>
    <row r="663" ht="15.75" customHeight="1" s="25"/>
    <row r="664" ht="15.75" customHeight="1" s="25"/>
    <row r="665" ht="15.75" customHeight="1" s="25"/>
    <row r="666" ht="15.75" customHeight="1" s="25"/>
    <row r="667" ht="15.75" customHeight="1" s="25"/>
    <row r="668" ht="15.75" customHeight="1" s="25"/>
    <row r="669" ht="15.75" customHeight="1" s="25"/>
    <row r="670" ht="15.75" customHeight="1" s="25"/>
    <row r="671" ht="15.75" customHeight="1" s="25"/>
    <row r="672" ht="15.75" customHeight="1" s="25"/>
    <row r="673" ht="15.75" customHeight="1" s="25"/>
    <row r="674" ht="15.75" customHeight="1" s="25"/>
    <row r="675" ht="15.75" customHeight="1" s="25"/>
    <row r="676" ht="15.75" customHeight="1" s="25"/>
    <row r="677" ht="15.75" customHeight="1" s="25"/>
    <row r="678" ht="15.75" customHeight="1" s="25"/>
    <row r="679" ht="15.75" customHeight="1" s="25"/>
    <row r="680" ht="15.75" customHeight="1" s="25"/>
    <row r="681" ht="15.75" customHeight="1" s="25"/>
    <row r="682" ht="15.75" customHeight="1" s="25"/>
    <row r="683" ht="15.75" customHeight="1" s="25"/>
    <row r="684" ht="15.75" customHeight="1" s="25"/>
    <row r="685" ht="15.75" customHeight="1" s="25"/>
    <row r="686" ht="15.75" customHeight="1" s="25"/>
    <row r="687" ht="15.75" customHeight="1" s="25"/>
    <row r="688" ht="15.75" customHeight="1" s="25"/>
    <row r="689" ht="15.75" customHeight="1" s="25"/>
    <row r="690" ht="15.75" customHeight="1" s="25"/>
    <row r="691" ht="15.75" customHeight="1" s="25"/>
    <row r="692" ht="15.75" customHeight="1" s="25"/>
    <row r="693" ht="15.75" customHeight="1" s="25"/>
    <row r="694" ht="15.75" customHeight="1" s="25"/>
    <row r="695" ht="15.75" customHeight="1" s="25"/>
    <row r="696" ht="15.75" customHeight="1" s="25"/>
    <row r="697" ht="15.75" customHeight="1" s="25"/>
    <row r="698" ht="15.75" customHeight="1" s="25"/>
    <row r="699" ht="15.75" customHeight="1" s="25"/>
    <row r="700" ht="15.75" customHeight="1" s="25"/>
    <row r="701" ht="15.75" customHeight="1" s="25"/>
    <row r="702" ht="15.75" customHeight="1" s="25"/>
    <row r="703" ht="15.75" customHeight="1" s="25"/>
    <row r="704" ht="15.75" customHeight="1" s="25"/>
    <row r="705" ht="15.75" customHeight="1" s="25"/>
    <row r="706" ht="15.75" customHeight="1" s="25"/>
    <row r="707" ht="15.75" customHeight="1" s="25"/>
    <row r="708" ht="15.75" customHeight="1" s="25"/>
    <row r="709" ht="15.75" customHeight="1" s="25"/>
    <row r="710" ht="15.75" customHeight="1" s="25"/>
    <row r="711" ht="15.75" customHeight="1" s="25"/>
    <row r="712" ht="15.75" customHeight="1" s="25"/>
    <row r="713" ht="15.75" customHeight="1" s="25"/>
    <row r="714" ht="15.75" customHeight="1" s="25"/>
    <row r="715" ht="15.75" customHeight="1" s="25"/>
    <row r="716" ht="15.75" customHeight="1" s="25"/>
    <row r="717" ht="15.75" customHeight="1" s="25"/>
    <row r="718" ht="15.75" customHeight="1" s="25"/>
    <row r="719" ht="15.75" customHeight="1" s="25"/>
    <row r="720" ht="15.75" customHeight="1" s="25"/>
    <row r="721" ht="15.75" customHeight="1" s="25"/>
    <row r="722" ht="15.75" customHeight="1" s="25"/>
    <row r="723" ht="15.75" customHeight="1" s="25"/>
    <row r="724" ht="15.75" customHeight="1" s="25"/>
    <row r="725" ht="15.75" customHeight="1" s="25"/>
    <row r="726" ht="15.75" customHeight="1" s="25"/>
    <row r="727" ht="15.75" customHeight="1" s="25"/>
    <row r="728" ht="15.75" customHeight="1" s="25"/>
    <row r="729" ht="15.75" customHeight="1" s="25"/>
    <row r="730" ht="15.75" customHeight="1" s="25"/>
    <row r="731" ht="15.75" customHeight="1" s="25"/>
    <row r="732" ht="15.75" customHeight="1" s="25"/>
    <row r="733" ht="15.75" customHeight="1" s="25"/>
    <row r="734" ht="15.75" customHeight="1" s="25"/>
    <row r="735" ht="15.75" customHeight="1" s="25"/>
    <row r="736" ht="15.75" customHeight="1" s="25"/>
    <row r="737" ht="15.75" customHeight="1" s="25"/>
    <row r="738" ht="15.75" customHeight="1" s="25"/>
    <row r="739" ht="15.75" customHeight="1" s="25"/>
    <row r="740" ht="15.75" customHeight="1" s="25"/>
    <row r="741" ht="15.75" customHeight="1" s="25"/>
    <row r="742" ht="15.75" customHeight="1" s="25"/>
    <row r="743" ht="15.75" customHeight="1" s="25"/>
    <row r="744" ht="15.75" customHeight="1" s="25"/>
    <row r="745" ht="15.75" customHeight="1" s="25"/>
    <row r="746" ht="15.75" customHeight="1" s="25"/>
    <row r="747" ht="15.75" customHeight="1" s="25"/>
    <row r="748" ht="15.75" customHeight="1" s="25"/>
    <row r="749" ht="15.75" customHeight="1" s="25"/>
    <row r="750" ht="15.75" customHeight="1" s="25"/>
    <row r="751" ht="15.75" customHeight="1" s="25"/>
    <row r="752" ht="15.75" customHeight="1" s="25"/>
    <row r="753" ht="15.75" customHeight="1" s="25"/>
    <row r="754" ht="15.75" customHeight="1" s="25"/>
    <row r="755" ht="15.75" customHeight="1" s="25"/>
    <row r="756" ht="15.75" customHeight="1" s="25"/>
    <row r="757" ht="15.75" customHeight="1" s="25"/>
    <row r="758" ht="15.75" customHeight="1" s="25"/>
    <row r="759" ht="15.75" customHeight="1" s="25"/>
    <row r="760" ht="15.75" customHeight="1" s="25"/>
    <row r="761" ht="15.75" customHeight="1" s="25"/>
    <row r="762" ht="15.75" customHeight="1" s="25"/>
    <row r="763" ht="15.75" customHeight="1" s="25"/>
    <row r="764" ht="15.75" customHeight="1" s="25"/>
    <row r="765" ht="15.75" customHeight="1" s="25"/>
    <row r="766" ht="15.75" customHeight="1" s="25"/>
    <row r="767" ht="15.75" customHeight="1" s="25"/>
    <row r="768" ht="15.75" customHeight="1" s="25"/>
    <row r="769" ht="15.75" customHeight="1" s="25"/>
    <row r="770" ht="15.75" customHeight="1" s="25"/>
    <row r="771" ht="15.75" customHeight="1" s="25"/>
    <row r="772" ht="15.75" customHeight="1" s="25"/>
    <row r="773" ht="15.75" customHeight="1" s="25"/>
    <row r="774" ht="15.75" customHeight="1" s="25"/>
    <row r="775" ht="15.75" customHeight="1" s="25"/>
    <row r="776" ht="15.75" customHeight="1" s="25"/>
    <row r="777" ht="15.75" customHeight="1" s="25"/>
    <row r="778" ht="15.75" customHeight="1" s="25"/>
    <row r="779" ht="15.75" customHeight="1" s="25"/>
    <row r="780" ht="15.75" customHeight="1" s="25"/>
    <row r="781" ht="15.75" customHeight="1" s="25"/>
    <row r="782" ht="15.75" customHeight="1" s="25"/>
    <row r="783" ht="15.75" customHeight="1" s="25"/>
    <row r="784" ht="15.75" customHeight="1" s="25"/>
    <row r="785" ht="15.75" customHeight="1" s="25"/>
    <row r="786" ht="15.75" customHeight="1" s="25"/>
    <row r="787" ht="15.75" customHeight="1" s="25"/>
    <row r="788" ht="15.75" customHeight="1" s="25"/>
    <row r="789" ht="15.75" customHeight="1" s="25"/>
    <row r="790" ht="15.75" customHeight="1" s="25"/>
    <row r="791" ht="15.75" customHeight="1" s="25"/>
    <row r="792" ht="15.75" customHeight="1" s="25"/>
    <row r="793" ht="15.75" customHeight="1" s="25"/>
    <row r="794" ht="15.75" customHeight="1" s="25"/>
    <row r="795" ht="15.75" customHeight="1" s="25"/>
    <row r="796" ht="15.75" customHeight="1" s="25"/>
    <row r="797" ht="15.75" customHeight="1" s="25"/>
    <row r="798" ht="15.75" customHeight="1" s="25"/>
    <row r="799" ht="15.75" customHeight="1" s="25"/>
    <row r="800" ht="15.75" customHeight="1" s="25"/>
    <row r="801" ht="15.75" customHeight="1" s="25"/>
    <row r="802" ht="15.75" customHeight="1" s="25"/>
    <row r="803" ht="15.75" customHeight="1" s="25"/>
    <row r="804" ht="15.75" customHeight="1" s="25"/>
    <row r="805" ht="15.75" customHeight="1" s="25"/>
    <row r="806" ht="15.75" customHeight="1" s="25"/>
    <row r="807" ht="15.75" customHeight="1" s="25"/>
    <row r="808" ht="15.75" customHeight="1" s="25"/>
    <row r="809" ht="15.75" customHeight="1" s="25"/>
    <row r="810" ht="15.75" customHeight="1" s="25"/>
    <row r="811" ht="15.75" customHeight="1" s="25"/>
    <row r="812" ht="15.75" customHeight="1" s="25"/>
    <row r="813" ht="15.75" customHeight="1" s="25"/>
    <row r="814" ht="15.75" customHeight="1" s="25"/>
    <row r="815" ht="15.75" customHeight="1" s="25"/>
    <row r="816" ht="15.75" customHeight="1" s="25"/>
    <row r="817" ht="15.75" customHeight="1" s="25"/>
    <row r="818" ht="15.75" customHeight="1" s="25"/>
    <row r="819" ht="15.75" customHeight="1" s="25"/>
    <row r="820" ht="15.75" customHeight="1" s="25"/>
    <row r="821" ht="15.75" customHeight="1" s="25"/>
    <row r="822" ht="15.75" customHeight="1" s="25"/>
    <row r="823" ht="15.75" customHeight="1" s="25"/>
    <row r="824" ht="15.75" customHeight="1" s="25"/>
    <row r="825" ht="15.75" customHeight="1" s="25"/>
    <row r="826" ht="15.75" customHeight="1" s="25"/>
    <row r="827" ht="15.75" customHeight="1" s="25"/>
    <row r="828" ht="15.75" customHeight="1" s="25"/>
    <row r="829" ht="15.75" customHeight="1" s="25"/>
    <row r="830" ht="15.75" customHeight="1" s="25"/>
    <row r="831" ht="15.75" customHeight="1" s="25"/>
    <row r="832" ht="15.75" customHeight="1" s="25"/>
    <row r="833" ht="15.75" customHeight="1" s="25"/>
    <row r="834" ht="15.75" customHeight="1" s="25"/>
    <row r="835" ht="15.75" customHeight="1" s="25"/>
    <row r="836" ht="15.75" customHeight="1" s="25"/>
    <row r="837" ht="15.75" customHeight="1" s="25"/>
    <row r="838" ht="15.75" customHeight="1" s="25"/>
    <row r="839" ht="15.75" customHeight="1" s="25"/>
    <row r="840" ht="15.75" customHeight="1" s="25"/>
    <row r="841" ht="15.75" customHeight="1" s="25"/>
    <row r="842" ht="15.75" customHeight="1" s="25"/>
    <row r="843" ht="15.75" customHeight="1" s="25"/>
    <row r="844" ht="15.75" customHeight="1" s="25"/>
    <row r="845" ht="15.75" customHeight="1" s="25"/>
    <row r="846" ht="15.75" customHeight="1" s="25"/>
    <row r="847" ht="15.75" customHeight="1" s="25"/>
    <row r="848" ht="15.75" customHeight="1" s="25"/>
    <row r="849" ht="15.75" customHeight="1" s="25"/>
    <row r="850" ht="15.75" customHeight="1" s="25"/>
    <row r="851" ht="15.75" customHeight="1" s="25"/>
    <row r="852" ht="15.75" customHeight="1" s="25"/>
    <row r="853" ht="15.75" customHeight="1" s="25"/>
    <row r="854" ht="15.75" customHeight="1" s="25"/>
    <row r="855" ht="15.75" customHeight="1" s="25"/>
    <row r="856" ht="15.75" customHeight="1" s="25"/>
    <row r="857" ht="15.75" customHeight="1" s="25"/>
    <row r="858" ht="15.75" customHeight="1" s="25"/>
    <row r="859" ht="15.75" customHeight="1" s="25"/>
    <row r="860" ht="15.75" customHeight="1" s="25"/>
    <row r="861" ht="15.75" customHeight="1" s="25"/>
    <row r="862" ht="15.75" customHeight="1" s="25"/>
    <row r="863" ht="15.75" customHeight="1" s="25"/>
    <row r="864" ht="15.75" customHeight="1" s="25"/>
    <row r="865" ht="15.75" customHeight="1" s="25"/>
    <row r="866" ht="15.75" customHeight="1" s="25"/>
    <row r="867" ht="15.75" customHeight="1" s="25"/>
    <row r="868" ht="15.75" customHeight="1" s="25"/>
    <row r="869" ht="15.75" customHeight="1" s="25"/>
    <row r="870" ht="15.75" customHeight="1" s="25"/>
    <row r="871" ht="15.75" customHeight="1" s="25"/>
    <row r="872" ht="15.75" customHeight="1" s="25"/>
    <row r="873" ht="15.75" customHeight="1" s="25"/>
    <row r="874" ht="15.75" customHeight="1" s="25"/>
    <row r="875" ht="15.75" customHeight="1" s="25"/>
    <row r="876" ht="15.75" customHeight="1" s="25"/>
    <row r="877" ht="15.75" customHeight="1" s="25"/>
    <row r="878" ht="15.75" customHeight="1" s="25"/>
    <row r="879" ht="15.75" customHeight="1" s="25"/>
    <row r="880" ht="15.75" customHeight="1" s="25"/>
    <row r="881" ht="15.75" customHeight="1" s="25"/>
    <row r="882" ht="15.75" customHeight="1" s="25"/>
    <row r="883" ht="15.75" customHeight="1" s="25"/>
    <row r="884" ht="15.75" customHeight="1" s="25"/>
    <row r="885" ht="15.75" customHeight="1" s="25"/>
    <row r="886" ht="15.75" customHeight="1" s="25"/>
    <row r="887" ht="15.75" customHeight="1" s="25"/>
    <row r="888" ht="15.75" customHeight="1" s="25"/>
    <row r="889" ht="15.75" customHeight="1" s="25"/>
    <row r="890" ht="15.75" customHeight="1" s="25"/>
    <row r="891" ht="15.75" customHeight="1" s="25"/>
    <row r="892" ht="15.75" customHeight="1" s="25"/>
    <row r="893" ht="15.75" customHeight="1" s="25"/>
    <row r="894" ht="15.75" customHeight="1" s="25"/>
    <row r="895" ht="15.75" customHeight="1" s="25"/>
    <row r="896" ht="15.75" customHeight="1" s="25"/>
    <row r="897" ht="15.75" customHeight="1" s="25"/>
    <row r="898" ht="15.75" customHeight="1" s="25"/>
    <row r="899" ht="15.75" customHeight="1" s="25"/>
    <row r="900" ht="15.75" customHeight="1" s="25"/>
    <row r="901" ht="15.75" customHeight="1" s="25"/>
    <row r="902" ht="15.75" customHeight="1" s="25"/>
    <row r="903" ht="15.75" customHeight="1" s="25"/>
    <row r="904" ht="15.75" customHeight="1" s="25"/>
    <row r="905" ht="15.75" customHeight="1" s="25"/>
    <row r="906" ht="15.75" customHeight="1" s="25"/>
    <row r="907" ht="15.75" customHeight="1" s="25"/>
    <row r="908" ht="15.75" customHeight="1" s="25"/>
    <row r="909" ht="15.75" customHeight="1" s="25"/>
    <row r="910" ht="15.75" customHeight="1" s="25"/>
    <row r="911" ht="15.75" customHeight="1" s="25"/>
    <row r="912" ht="15.75" customHeight="1" s="25"/>
    <row r="913" ht="15.75" customHeight="1" s="25"/>
    <row r="914" ht="15.75" customHeight="1" s="25"/>
    <row r="915" ht="15.75" customHeight="1" s="25"/>
    <row r="916" ht="15.75" customHeight="1" s="25"/>
    <row r="917" ht="15.75" customHeight="1" s="25"/>
    <row r="918" ht="15.75" customHeight="1" s="25"/>
    <row r="919" ht="15.75" customHeight="1" s="25"/>
    <row r="920" ht="15.75" customHeight="1" s="25"/>
    <row r="921" ht="15.75" customHeight="1" s="25"/>
    <row r="922" ht="15.75" customHeight="1" s="25"/>
    <row r="923" ht="15.75" customHeight="1" s="25"/>
    <row r="924" ht="15.75" customHeight="1" s="25"/>
    <row r="925" ht="15.75" customHeight="1" s="25"/>
    <row r="926" ht="15.75" customHeight="1" s="25"/>
    <row r="927" ht="15.75" customHeight="1" s="25"/>
    <row r="928" ht="15.75" customHeight="1" s="25"/>
    <row r="929" ht="15.75" customHeight="1" s="25"/>
    <row r="930" ht="15.75" customHeight="1" s="25"/>
    <row r="931" ht="15.75" customHeight="1" s="25"/>
    <row r="932" ht="15.75" customHeight="1" s="25"/>
    <row r="933" ht="15.75" customHeight="1" s="25"/>
    <row r="934" ht="15.75" customHeight="1" s="25"/>
    <row r="935" ht="15.75" customHeight="1" s="25"/>
    <row r="936" ht="15.75" customHeight="1" s="25"/>
    <row r="937" ht="15.75" customHeight="1" s="25"/>
    <row r="938" ht="15.75" customHeight="1" s="25"/>
    <row r="939" ht="15.75" customHeight="1" s="25"/>
    <row r="940" ht="15.75" customHeight="1" s="25"/>
    <row r="941" ht="15.75" customHeight="1" s="25"/>
    <row r="942" ht="15.75" customHeight="1" s="25"/>
    <row r="943" ht="15.75" customHeight="1" s="25"/>
    <row r="944" ht="15.75" customHeight="1" s="25"/>
    <row r="945" ht="15.75" customHeight="1" s="25"/>
    <row r="946" ht="15.75" customHeight="1" s="25"/>
    <row r="947" ht="15.75" customHeight="1" s="25"/>
    <row r="948" ht="15.75" customHeight="1" s="25"/>
    <row r="949" ht="15.75" customHeight="1" s="25"/>
    <row r="950" ht="15.75" customHeight="1" s="25"/>
    <row r="951" ht="15.75" customHeight="1" s="25"/>
    <row r="952" ht="15.75" customHeight="1" s="25"/>
    <row r="953" ht="15.75" customHeight="1" s="25"/>
    <row r="954" ht="15.75" customHeight="1" s="25"/>
    <row r="955" ht="15.75" customHeight="1" s="25"/>
    <row r="956" ht="15.75" customHeight="1" s="25"/>
    <row r="957" ht="15.75" customHeight="1" s="25"/>
    <row r="958" ht="15.75" customHeight="1" s="25"/>
    <row r="959" ht="15.75" customHeight="1" s="25"/>
    <row r="960" ht="15.75" customHeight="1" s="25"/>
    <row r="961" ht="15.75" customHeight="1" s="25"/>
    <row r="962" ht="15.75" customHeight="1" s="25"/>
    <row r="963" ht="15.75" customHeight="1" s="25"/>
    <row r="964" ht="15.75" customHeight="1" s="25"/>
    <row r="965" ht="15.75" customHeight="1" s="25"/>
    <row r="966" ht="15.75" customHeight="1" s="25"/>
    <row r="967" ht="15.75" customHeight="1" s="25"/>
    <row r="968" ht="15.75" customHeight="1" s="25"/>
    <row r="969" ht="15.75" customHeight="1" s="25"/>
    <row r="970" ht="15.75" customHeight="1" s="25"/>
    <row r="971" ht="15.75" customHeight="1" s="25"/>
    <row r="972" ht="15.75" customHeight="1" s="25"/>
    <row r="973" ht="15.75" customHeight="1" s="25"/>
    <row r="974" ht="15.75" customHeight="1" s="25"/>
    <row r="975" ht="15.75" customHeight="1" s="25"/>
    <row r="976" ht="15.75" customHeight="1" s="25"/>
    <row r="977" ht="15.75" customHeight="1" s="25"/>
    <row r="978" ht="15.75" customHeight="1" s="25"/>
    <row r="979" ht="15.75" customHeight="1" s="25"/>
    <row r="980" ht="15.75" customHeight="1" s="25"/>
    <row r="981" ht="15.75" customHeight="1" s="25"/>
    <row r="982" ht="15.75" customHeight="1" s="25"/>
    <row r="983" ht="15.75" customHeight="1" s="25"/>
    <row r="984" ht="15.75" customHeight="1" s="25"/>
    <row r="985" ht="15.75" customHeight="1" s="25"/>
    <row r="986" ht="15.75" customHeight="1" s="25"/>
    <row r="987" ht="15.75" customHeight="1" s="25"/>
    <row r="988" ht="15.75" customHeight="1" s="25"/>
    <row r="989" ht="15.75" customHeight="1" s="25"/>
    <row r="990" ht="15.75" customHeight="1" s="25"/>
    <row r="991" ht="15.75" customHeight="1" s="25"/>
    <row r="992" ht="15.75" customHeight="1" s="25"/>
    <row r="993" ht="15.75" customHeight="1" s="25"/>
    <row r="994" ht="15.75" customHeight="1" s="25"/>
    <row r="995" ht="15.75" customHeight="1" s="25"/>
    <row r="996" ht="15.75" customHeight="1" s="25"/>
    <row r="997" ht="15.75" customHeight="1" s="25"/>
    <row r="998" ht="15.75" customHeight="1" s="25"/>
    <row r="999" ht="15.75" customHeight="1" s="25"/>
    <row r="1000" ht="15.75" customHeight="1" s="25"/>
  </sheetData>
  <mergeCells count="3">
    <mergeCell ref="A1:J1"/>
    <mergeCell ref="A15:J15"/>
    <mergeCell ref="A2:J2"/>
  </mergeCells>
  <conditionalFormatting sqref="E5:E12">
    <cfRule type="expression" priority="6" dxfId="4">
      <formula>E5="Completo"</formula>
    </cfRule>
    <cfRule type="expression" priority="7" dxfId="3">
      <formula>E5="Avance alto"</formula>
    </cfRule>
    <cfRule type="expression" priority="8" dxfId="2">
      <formula>E5="En progreso"</formula>
    </cfRule>
    <cfRule type="expression" priority="9" dxfId="1">
      <formula>E5="Parcial"</formula>
    </cfRule>
    <cfRule type="expression" priority="10" dxfId="0">
      <formula>E5="Pendiente"</formula>
    </cfRule>
  </conditionalFormatting>
  <conditionalFormatting sqref="E16">
    <cfRule type="expression" priority="1" dxfId="4">
      <formula>E16="Completo"</formula>
    </cfRule>
    <cfRule type="expression" priority="2" dxfId="3">
      <formula>E16="Avance alto"</formula>
    </cfRule>
    <cfRule type="expression" priority="3" dxfId="2">
      <formula>E16="En progreso"</formula>
    </cfRule>
    <cfRule type="expression" priority="4" dxfId="1">
      <formula>E16="Parcial"</formula>
    </cfRule>
    <cfRule type="expression" priority="5" dxfId="0">
      <formula>E16="Pendiente"</formula>
    </cfRule>
  </conditionalFormatting>
  <dataValidations count="1">
    <dataValidation sqref="E5:E12 E16" showDropDown="0" showInputMessage="0" showErrorMessage="0" allowBlank="1" type="list">
      <formula1>"Pendiente,Parcial,En progreso,Avance alto,Completo"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10" defaultColWidth="12.625" defaultRowHeight="14.25"/>
  <cols>
    <col width="18" customWidth="1" style="25" min="1" max="1"/>
    <col width="30" customWidth="1" style="25" min="2" max="2"/>
    <col width="14" customWidth="1" style="25" min="3" max="3"/>
    <col width="18" customWidth="1" style="25" min="4" max="4"/>
    <col width="12" customWidth="1" style="25" min="5" max="5"/>
    <col width="38" customWidth="1" style="25" min="6" max="6"/>
  </cols>
  <sheetData>
    <row r="1" ht="20.25" customHeight="1" s="25">
      <c r="A1" s="45" t="inlineStr">
        <is>
          <t>CITAJUSTA — RESUMEN RELEASE PLAN — CORTE 16-10-2026</t>
        </is>
      </c>
    </row>
    <row r="3" ht="15" customHeight="1" s="25">
      <c r="A3" s="27" t="inlineStr">
        <is>
          <t>Indicador</t>
        </is>
      </c>
      <c r="B3" s="27" t="inlineStr">
        <is>
          <t>Valor</t>
        </is>
      </c>
      <c r="C3" s="30" t="n"/>
      <c r="D3" s="27" t="inlineStr">
        <is>
          <t>Estado</t>
        </is>
      </c>
      <c r="E3" s="27" t="inlineStr">
        <is>
          <t>Cantidad</t>
        </is>
      </c>
      <c r="F3" s="30" t="n"/>
    </row>
    <row r="4" ht="28.5" customHeight="1" s="25">
      <c r="A4" s="3" t="inlineStr">
        <is>
          <t>Releases planificados</t>
        </is>
      </c>
      <c r="B4" s="3" t="n">
        <v>9</v>
      </c>
      <c r="C4" s="30" t="n"/>
      <c r="D4" s="3" t="inlineStr">
        <is>
          <t>Completo</t>
        </is>
      </c>
      <c r="E4" s="3">
        <f>B5</f>
        <v/>
      </c>
      <c r="F4" s="30" t="n"/>
    </row>
    <row r="5">
      <c r="A5" s="3" t="inlineStr">
        <is>
          <t>Completos</t>
        </is>
      </c>
      <c r="B5" s="3" t="n">
        <v>5</v>
      </c>
      <c r="C5" s="30" t="n"/>
      <c r="D5" s="3" t="inlineStr">
        <is>
          <t>Avance alto</t>
        </is>
      </c>
      <c r="E5" s="3">
        <f>B6</f>
        <v/>
      </c>
      <c r="F5" s="30" t="n"/>
    </row>
    <row r="6">
      <c r="A6" s="3" t="inlineStr">
        <is>
          <t>Avance alto</t>
        </is>
      </c>
      <c r="B6" s="3" t="n">
        <v>2</v>
      </c>
      <c r="C6" s="30" t="n"/>
      <c r="D6" s="3" t="inlineStr">
        <is>
          <t>En progreso</t>
        </is>
      </c>
      <c r="E6" s="3">
        <f>B7</f>
        <v/>
      </c>
      <c r="F6" s="30" t="n"/>
    </row>
    <row r="7">
      <c r="A7" s="3" t="inlineStr">
        <is>
          <t>En progreso</t>
        </is>
      </c>
      <c r="B7" s="3" t="n">
        <v>1</v>
      </c>
      <c r="C7" s="30" t="n"/>
      <c r="D7" s="3" t="inlineStr">
        <is>
          <t>Parcial</t>
        </is>
      </c>
      <c r="E7" s="3">
        <f>B8</f>
        <v/>
      </c>
      <c r="F7" s="30" t="n"/>
    </row>
    <row r="8">
      <c r="A8" s="3" t="inlineStr">
        <is>
          <t>Parciales</t>
        </is>
      </c>
      <c r="B8" s="3" t="n">
        <v>0</v>
      </c>
      <c r="C8" s="30" t="n"/>
      <c r="D8" s="29" t="inlineStr">
        <is>
          <t>Pendiente</t>
        </is>
      </c>
      <c r="E8" s="29">
        <f>B9</f>
        <v/>
      </c>
      <c r="F8" s="30" t="n"/>
    </row>
    <row r="9">
      <c r="A9" s="3" t="inlineStr">
        <is>
          <t>Pendientes</t>
        </is>
      </c>
      <c r="B9" s="3" t="n">
        <v>1</v>
      </c>
      <c r="C9" s="30" t="n"/>
      <c r="D9" s="30" t="n"/>
      <c r="E9" s="30" t="n"/>
      <c r="F9" s="30" t="n"/>
    </row>
    <row r="10">
      <c r="A10" s="30" t="inlineStr">
        <is>
          <t>Fecha de corte</t>
        </is>
      </c>
      <c r="B10" s="30" t="inlineStr">
        <is>
          <t>16-10-2026</t>
        </is>
      </c>
      <c r="C10" s="30" t="n"/>
      <c r="D10" s="30" t="n"/>
      <c r="E10" s="30" t="n"/>
      <c r="F10" s="30" t="n"/>
    </row>
    <row r="11">
      <c r="A11" s="30" t="n"/>
      <c r="B11" s="30" t="n"/>
      <c r="C11" s="30" t="n"/>
      <c r="D11" s="30" t="n"/>
      <c r="E11" s="30" t="n"/>
      <c r="F11" s="30" t="n"/>
    </row>
    <row r="12" ht="15" customHeight="1" s="25">
      <c r="A12" s="67" t="inlineStr">
        <is>
          <t>Ruta de releases</t>
        </is>
      </c>
      <c r="B12" s="63" t="n"/>
      <c r="C12" s="63" t="n"/>
      <c r="D12" s="63" t="n"/>
      <c r="E12" s="63" t="n"/>
      <c r="F12" s="64" t="n"/>
    </row>
    <row r="13">
      <c r="A13" s="29" t="inlineStr">
        <is>
          <t>R0.1</t>
        </is>
      </c>
      <c r="B13" s="29" t="inlineStr">
        <is>
          <t>Análisis y arquitectura</t>
        </is>
      </c>
      <c r="C13" s="29" t="inlineStr">
        <is>
          <t>Sprint 1</t>
        </is>
      </c>
      <c r="D13" s="29" t="inlineStr">
        <is>
          <t>Completo</t>
        </is>
      </c>
      <c r="E13" s="29" t="inlineStr">
        <is>
          <t>→</t>
        </is>
      </c>
      <c r="F13" s="29" t="inlineStr">
        <is>
          <t>Base del proyecto</t>
        </is>
      </c>
    </row>
    <row r="14">
      <c r="A14" s="29" t="inlineStr">
        <is>
          <t>R0.2</t>
        </is>
      </c>
      <c r="B14" s="29" t="inlineStr">
        <is>
          <t>Configuración técnica</t>
        </is>
      </c>
      <c r="C14" s="29" t="inlineStr">
        <is>
          <t>Sprint 2</t>
        </is>
      </c>
      <c r="D14" s="29" t="inlineStr">
        <is>
          <t>Avance alto</t>
        </is>
      </c>
      <c r="E14" s="29" t="inlineStr">
        <is>
          <t>→</t>
        </is>
      </c>
      <c r="F14" s="29" t="inlineStr">
        <is>
          <t>Web + Desktop operativos; Docker en Sprint 9</t>
        </is>
      </c>
    </row>
    <row r="15">
      <c r="A15" s="29" t="inlineStr">
        <is>
          <t>R0.3</t>
        </is>
      </c>
      <c r="B15" s="29" t="inlineStr">
        <is>
          <t>Seguridad y usuarios</t>
        </is>
      </c>
      <c r="C15" s="29" t="inlineStr">
        <is>
          <t>Sprint 3</t>
        </is>
      </c>
      <c r="D15" s="29" t="inlineStr">
        <is>
          <t>Avance alto</t>
        </is>
      </c>
      <c r="E15" s="29" t="inlineStr">
        <is>
          <t>→</t>
        </is>
      </c>
      <c r="F15" s="29" t="inlineStr">
        <is>
          <t>Auth / RBAC operativos; OIDC planificado Sprint 8</t>
        </is>
      </c>
    </row>
    <row r="16">
      <c r="A16" s="29" t="inlineStr">
        <is>
          <t>R0.4</t>
        </is>
      </c>
      <c r="B16" s="29" t="inlineStr">
        <is>
          <t>Agenda base</t>
        </is>
      </c>
      <c r="C16" s="29" t="inlineStr">
        <is>
          <t>Sprint 4</t>
        </is>
      </c>
      <c r="D16" s="29" t="inlineStr">
        <is>
          <t>Completo</t>
        </is>
      </c>
      <c r="E16" s="29" t="inlineStr">
        <is>
          <t>→</t>
        </is>
      </c>
      <c r="F16" s="29" t="inlineStr">
        <is>
          <t>8/8 tareas + E2E 1/1 + Burndown</t>
        </is>
      </c>
    </row>
    <row r="17">
      <c r="A17" s="29" t="inlineStr">
        <is>
          <t>R0.5</t>
        </is>
      </c>
      <c r="B17" s="29" t="inlineStr">
        <is>
          <t>Citas y espera</t>
        </is>
      </c>
      <c r="C17" s="29" t="inlineStr">
        <is>
          <t>Sprint 5</t>
        </is>
      </c>
      <c r="D17" s="29" t="inlineStr">
        <is>
          <t>Completo</t>
        </is>
      </c>
      <c r="E17" s="29" t="inlineStr">
        <is>
          <t>→</t>
        </is>
      </c>
      <c r="F17" s="29" t="inlineStr">
        <is>
          <t>HU-004–008 + HU-021 Web Done</t>
        </is>
      </c>
    </row>
    <row r="18" ht="38" customHeight="1" s="25">
      <c r="A18" s="29" t="inlineStr">
        <is>
          <t>R0.6</t>
        </is>
      </c>
      <c r="B18" s="29" t="inlineStr">
        <is>
          <t>Reasignación + notificaciones</t>
        </is>
      </c>
      <c r="C18" s="29" t="inlineStr">
        <is>
          <t>Sprint 6</t>
        </is>
      </c>
      <c r="D18" s="29" t="inlineStr">
        <is>
          <t>Completo</t>
        </is>
      </c>
      <c r="E18" s="29" t="inlineStr">
        <is>
          <t>→</t>
        </is>
      </c>
      <c r="F18" s="29" t="inlineStr">
        <is>
          <t>HU-022/023/024 Done · motor y notificaciones internas</t>
        </is>
      </c>
    </row>
    <row r="19" ht="38" customHeight="1" s="25">
      <c r="A19" s="29" t="inlineStr">
        <is>
          <t>R0.7</t>
        </is>
      </c>
      <c r="B19" s="29" t="inlineStr">
        <is>
          <t>Aplicación institucional + UX</t>
        </is>
      </c>
      <c r="C19" s="29" t="inlineStr">
        <is>
          <t>Sprint 7</t>
        </is>
      </c>
      <c r="D19" s="29" t="inlineStr">
        <is>
          <t>Completo</t>
        </is>
      </c>
      <c r="E19" s="29" t="inlineStr">
        <is>
          <t>→</t>
        </is>
      </c>
      <c r="F19" s="29" t="inlineStr">
        <is>
          <t>HU-027–038 Done; HU-035 UX Web incluida</t>
        </is>
      </c>
    </row>
    <row r="20" ht="38" customHeight="1" s="25">
      <c r="A20" s="29" t="inlineStr">
        <is>
          <t>R0.8</t>
        </is>
      </c>
      <c r="B20" s="29" t="inlineStr">
        <is>
          <t>Integraciones externas</t>
        </is>
      </c>
      <c r="C20" s="29" t="inlineStr">
        <is>
          <t>Sprint 8</t>
        </is>
      </c>
      <c r="D20" s="29" t="inlineStr">
        <is>
          <t>En progreso</t>
        </is>
      </c>
      <c r="E20" s="29" t="inlineStr">
        <is>
          <t>→</t>
        </is>
      </c>
      <c r="F20" s="29" t="inlineStr">
        <is>
          <t>HU-039–HU-042 cerradas/PR MERGED; Sprint 8 pendiente de cierre formal. HU-043 fuera de alcance.</t>
        </is>
      </c>
    </row>
    <row r="21" ht="38" customHeight="1" s="25">
      <c r="A21" s="30" t="inlineStr">
        <is>
          <t>R1.0</t>
        </is>
      </c>
      <c r="B21" s="30" t="inlineStr">
        <is>
          <t>Cierre técnico/académico</t>
        </is>
      </c>
      <c r="C21" s="30" t="inlineStr">
        <is>
          <t>Sprint 9</t>
        </is>
      </c>
      <c r="D21" s="30" t="inlineStr">
        <is>
          <t>Pendiente</t>
        </is>
      </c>
      <c r="E21" s="30" t="inlineStr">
        <is>
          <t>→</t>
        </is>
      </c>
      <c r="F21" s="30" t="inlineStr">
        <is>
          <t>Docker + OpenAPI + hardening + docs + defensa</t>
        </is>
      </c>
    </row>
    <row r="22" ht="15.75" customHeight="1" s="25">
      <c r="A22" s="23" t="inlineStr">
        <is>
          <t>Último corte 16-10: cuatro integraciones entregadas; HU-043 excluida; cierre Sprint 8 pendiente; Sprint 9 documental/técnico.</t>
        </is>
      </c>
      <c r="B22" s="68" t="n"/>
      <c r="C22" s="68" t="n"/>
      <c r="D22" s="68" t="n"/>
      <c r="E22" s="68" t="n"/>
      <c r="F22" s="69" t="n"/>
    </row>
    <row r="23" ht="72" customHeight="1" s="25">
      <c r="A23" s="48" t="n"/>
      <c r="B23" s="70" t="n"/>
      <c r="C23" s="70" t="n"/>
      <c r="D23" s="70" t="n"/>
      <c r="E23" s="70" t="n"/>
      <c r="F23" s="71" t="n"/>
    </row>
    <row r="24" ht="15.75" customHeight="1" s="25">
      <c r="A24" s="72" t="n"/>
      <c r="F24" s="73" t="n"/>
    </row>
    <row r="25" ht="15.75" customHeight="1" s="25">
      <c r="A25" s="72" t="n"/>
      <c r="F25" s="73" t="n"/>
    </row>
    <row r="26" ht="15.75" customHeight="1" s="25">
      <c r="A26" s="74" t="n"/>
      <c r="B26" s="75" t="n"/>
      <c r="C26" s="75" t="n"/>
      <c r="D26" s="75" t="n"/>
      <c r="E26" s="75" t="n"/>
      <c r="F26" s="76" t="n"/>
    </row>
    <row r="27" ht="15.75" customHeight="1" s="25"/>
    <row r="28" ht="15.75" customHeight="1" s="25"/>
    <row r="29" ht="15.75" customHeight="1" s="25"/>
    <row r="30" ht="15.75" customHeight="1" s="25"/>
    <row r="31" ht="15.75" customHeight="1" s="25"/>
    <row r="32" ht="15.75" customHeight="1" s="25"/>
    <row r="33" ht="15.75" customHeight="1" s="25"/>
    <row r="34" ht="15.75" customHeight="1" s="25"/>
    <row r="35" ht="15.75" customHeight="1" s="25"/>
    <row r="36" ht="15.75" customHeight="1" s="25"/>
    <row r="37" ht="15.75" customHeight="1" s="25"/>
    <row r="38" ht="15.75" customHeight="1" s="25"/>
    <row r="39" ht="15.75" customHeight="1" s="25"/>
    <row r="40" ht="15.75" customHeight="1" s="25"/>
    <row r="41" ht="15.75" customHeight="1" s="25"/>
    <row r="42" ht="15.75" customHeight="1" s="25"/>
    <row r="43" ht="15.75" customHeight="1" s="25"/>
    <row r="44" ht="15.75" customHeight="1" s="25"/>
    <row r="45" ht="15.75" customHeight="1" s="25"/>
    <row r="46" ht="15.75" customHeight="1" s="25"/>
    <row r="47" ht="15.75" customHeight="1" s="25"/>
    <row r="48" ht="15.75" customHeight="1" s="25"/>
    <row r="49" ht="15.75" customHeight="1" s="25"/>
    <row r="50" ht="15.75" customHeight="1" s="25"/>
    <row r="51" ht="15.75" customHeight="1" s="25"/>
    <row r="52" ht="15.75" customHeight="1" s="25"/>
    <row r="53" ht="15.75" customHeight="1" s="25"/>
    <row r="54" ht="15.75" customHeight="1" s="25"/>
    <row r="55" ht="15.75" customHeight="1" s="25"/>
    <row r="56" ht="15.75" customHeight="1" s="25"/>
    <row r="57" ht="15.75" customHeight="1" s="25"/>
    <row r="58" ht="15.75" customHeight="1" s="25"/>
    <row r="59" ht="15.75" customHeight="1" s="25"/>
    <row r="60" ht="15.75" customHeight="1" s="25"/>
    <row r="61" ht="15.75" customHeight="1" s="25"/>
    <row r="62" ht="15.75" customHeight="1" s="25"/>
    <row r="63" ht="15.75" customHeight="1" s="25"/>
    <row r="64" ht="15.75" customHeight="1" s="25"/>
    <row r="65" ht="15.75" customHeight="1" s="25"/>
    <row r="66" ht="15.75" customHeight="1" s="25"/>
    <row r="67" ht="15.75" customHeight="1" s="25"/>
    <row r="68" ht="15.75" customHeight="1" s="25"/>
    <row r="69" ht="15.75" customHeight="1" s="25"/>
    <row r="70" ht="15.75" customHeight="1" s="25"/>
    <row r="71" ht="15.75" customHeight="1" s="25"/>
    <row r="72" ht="15.75" customHeight="1" s="25"/>
    <row r="73" ht="15.75" customHeight="1" s="25"/>
    <row r="74" ht="15.75" customHeight="1" s="25"/>
    <row r="75" ht="15.75" customHeight="1" s="25"/>
    <row r="76" ht="15.75" customHeight="1" s="25"/>
    <row r="77" ht="15.75" customHeight="1" s="25"/>
    <row r="78" ht="15.75" customHeight="1" s="25"/>
    <row r="79" ht="15.75" customHeight="1" s="25"/>
    <row r="80" ht="15.75" customHeight="1" s="25"/>
    <row r="81" ht="15.75" customHeight="1" s="25"/>
    <row r="82" ht="15.75" customHeight="1" s="25"/>
    <row r="83" ht="15.75" customHeight="1" s="25"/>
    <row r="84" ht="15.75" customHeight="1" s="25"/>
    <row r="85" ht="15.75" customHeight="1" s="25"/>
    <row r="86" ht="15.75" customHeight="1" s="25"/>
    <row r="87" ht="15.75" customHeight="1" s="25"/>
    <row r="88" ht="15.75" customHeight="1" s="25"/>
    <row r="89" ht="15.75" customHeight="1" s="25"/>
    <row r="90" ht="15.75" customHeight="1" s="25"/>
    <row r="91" ht="15.75" customHeight="1" s="25"/>
    <row r="92" ht="15.75" customHeight="1" s="25"/>
    <row r="93" ht="15.75" customHeight="1" s="25"/>
    <row r="94" ht="15.75" customHeight="1" s="25"/>
    <row r="95" ht="15.75" customHeight="1" s="25"/>
    <row r="96" ht="15.75" customHeight="1" s="25"/>
    <row r="97" ht="15.75" customHeight="1" s="25"/>
    <row r="98" ht="15.75" customHeight="1" s="25"/>
    <row r="99" ht="15.75" customHeight="1" s="25"/>
    <row r="100" ht="15.75" customHeight="1" s="25"/>
    <row r="101" ht="15.75" customHeight="1" s="25"/>
    <row r="102" ht="15.75" customHeight="1" s="25"/>
    <row r="103" ht="15.75" customHeight="1" s="25"/>
    <row r="104" ht="15.75" customHeight="1" s="25"/>
    <row r="105" ht="15.75" customHeight="1" s="25"/>
    <row r="106" ht="15.75" customHeight="1" s="25"/>
    <row r="107" ht="15.75" customHeight="1" s="25"/>
    <row r="108" ht="15.75" customHeight="1" s="25"/>
    <row r="109" ht="15.75" customHeight="1" s="25"/>
    <row r="110" ht="15.75" customHeight="1" s="25"/>
    <row r="111" ht="15.75" customHeight="1" s="25"/>
    <row r="112" ht="15.75" customHeight="1" s="25"/>
    <row r="113" ht="15.75" customHeight="1" s="25"/>
    <row r="114" ht="15.75" customHeight="1" s="25"/>
    <row r="115" ht="15.75" customHeight="1" s="25"/>
    <row r="116" ht="15.75" customHeight="1" s="25"/>
    <row r="117" ht="15.75" customHeight="1" s="25"/>
    <row r="118" ht="15.75" customHeight="1" s="25"/>
    <row r="119" ht="15.75" customHeight="1" s="25"/>
    <row r="120" ht="15.75" customHeight="1" s="25"/>
    <row r="121" ht="15.75" customHeight="1" s="25"/>
    <row r="122" ht="15.75" customHeight="1" s="25"/>
    <row r="123" ht="15.75" customHeight="1" s="25"/>
    <row r="124" ht="15.75" customHeight="1" s="25"/>
    <row r="125" ht="15.75" customHeight="1" s="25"/>
    <row r="126" ht="15.75" customHeight="1" s="25"/>
    <row r="127" ht="15.75" customHeight="1" s="25"/>
    <row r="128" ht="15.75" customHeight="1" s="25"/>
    <row r="129" ht="15.75" customHeight="1" s="25"/>
    <row r="130" ht="15.75" customHeight="1" s="25"/>
    <row r="131" ht="15.75" customHeight="1" s="25"/>
    <row r="132" ht="15.75" customHeight="1" s="25"/>
    <row r="133" ht="15.75" customHeight="1" s="25"/>
    <row r="134" ht="15.75" customHeight="1" s="25"/>
    <row r="135" ht="15.75" customHeight="1" s="25"/>
    <row r="136" ht="15.75" customHeight="1" s="25"/>
    <row r="137" ht="15.75" customHeight="1" s="25"/>
    <row r="138" ht="15.75" customHeight="1" s="25"/>
    <row r="139" ht="15.75" customHeight="1" s="25"/>
    <row r="140" ht="15.75" customHeight="1" s="25"/>
    <row r="141" ht="15.75" customHeight="1" s="25"/>
    <row r="142" ht="15.75" customHeight="1" s="25"/>
    <row r="143" ht="15.75" customHeight="1" s="25"/>
    <row r="144" ht="15.75" customHeight="1" s="25"/>
    <row r="145" ht="15.75" customHeight="1" s="25"/>
    <row r="146" ht="15.75" customHeight="1" s="25"/>
    <row r="147" ht="15.75" customHeight="1" s="25"/>
    <row r="148" ht="15.75" customHeight="1" s="25"/>
    <row r="149" ht="15.75" customHeight="1" s="25"/>
    <row r="150" ht="15.75" customHeight="1" s="25"/>
    <row r="151" ht="15.75" customHeight="1" s="25"/>
    <row r="152" ht="15.75" customHeight="1" s="25"/>
    <row r="153" ht="15.75" customHeight="1" s="25"/>
    <row r="154" ht="15.75" customHeight="1" s="25"/>
    <row r="155" ht="15.75" customHeight="1" s="25"/>
    <row r="156" ht="15.75" customHeight="1" s="25"/>
    <row r="157" ht="15.75" customHeight="1" s="25"/>
    <row r="158" ht="15.75" customHeight="1" s="25"/>
    <row r="159" ht="15.75" customHeight="1" s="25"/>
    <row r="160" ht="15.75" customHeight="1" s="25"/>
    <row r="161" ht="15.75" customHeight="1" s="25"/>
    <row r="162" ht="15.75" customHeight="1" s="25"/>
    <row r="163" ht="15.75" customHeight="1" s="25"/>
    <row r="164" ht="15.75" customHeight="1" s="25"/>
    <row r="165" ht="15.75" customHeight="1" s="25"/>
    <row r="166" ht="15.75" customHeight="1" s="25"/>
    <row r="167" ht="15.75" customHeight="1" s="25"/>
    <row r="168" ht="15.75" customHeight="1" s="25"/>
    <row r="169" ht="15.75" customHeight="1" s="25"/>
    <row r="170" ht="15.75" customHeight="1" s="25"/>
    <row r="171" ht="15.75" customHeight="1" s="25"/>
    <row r="172" ht="15.75" customHeight="1" s="25"/>
    <row r="173" ht="15.75" customHeight="1" s="25"/>
    <row r="174" ht="15.75" customHeight="1" s="25"/>
    <row r="175" ht="15.75" customHeight="1" s="25"/>
    <row r="176" ht="15.75" customHeight="1" s="25"/>
    <row r="177" ht="15.75" customHeight="1" s="25"/>
    <row r="178" ht="15.75" customHeight="1" s="25"/>
    <row r="179" ht="15.75" customHeight="1" s="25"/>
    <row r="180" ht="15.75" customHeight="1" s="25"/>
    <row r="181" ht="15.75" customHeight="1" s="25"/>
    <row r="182" ht="15.75" customHeight="1" s="25"/>
    <row r="183" ht="15.75" customHeight="1" s="25"/>
    <row r="184" ht="15.75" customHeight="1" s="25"/>
    <row r="185" ht="15.75" customHeight="1" s="25"/>
    <row r="186" ht="15.75" customHeight="1" s="25"/>
    <row r="187" ht="15.75" customHeight="1" s="25"/>
    <row r="188" ht="15.75" customHeight="1" s="25"/>
    <row r="189" ht="15.75" customHeight="1" s="25"/>
    <row r="190" ht="15.75" customHeight="1" s="25"/>
    <row r="191" ht="15.75" customHeight="1" s="25"/>
    <row r="192" ht="15.75" customHeight="1" s="25"/>
    <row r="193" ht="15.75" customHeight="1" s="25"/>
    <row r="194" ht="15.75" customHeight="1" s="25"/>
    <row r="195" ht="15.75" customHeight="1" s="25"/>
    <row r="196" ht="15.75" customHeight="1" s="25"/>
    <row r="197" ht="15.75" customHeight="1" s="25"/>
    <row r="198" ht="15.75" customHeight="1" s="25"/>
    <row r="199" ht="15.75" customHeight="1" s="25"/>
    <row r="200" ht="15.75" customHeight="1" s="25"/>
    <row r="201" ht="15.75" customHeight="1" s="25"/>
    <row r="202" ht="15.75" customHeight="1" s="25"/>
    <row r="203" ht="15.75" customHeight="1" s="25"/>
    <row r="204" ht="15.75" customHeight="1" s="25"/>
    <row r="205" ht="15.75" customHeight="1" s="25"/>
    <row r="206" ht="15.75" customHeight="1" s="25"/>
    <row r="207" ht="15.75" customHeight="1" s="25"/>
    <row r="208" ht="15.75" customHeight="1" s="25"/>
    <row r="209" ht="15.75" customHeight="1" s="25"/>
    <row r="210" ht="15.75" customHeight="1" s="25"/>
    <row r="211" ht="15.75" customHeight="1" s="25"/>
    <row r="212" ht="15.75" customHeight="1" s="25"/>
    <row r="213" ht="15.75" customHeight="1" s="25"/>
    <row r="214" ht="15.75" customHeight="1" s="25"/>
    <row r="215" ht="15.75" customHeight="1" s="25"/>
    <row r="216" ht="15.75" customHeight="1" s="25"/>
    <row r="217" ht="15.75" customHeight="1" s="25"/>
    <row r="218" ht="15.75" customHeight="1" s="25"/>
    <row r="219" ht="15.75" customHeight="1" s="25"/>
    <row r="220" ht="15.75" customHeight="1" s="25"/>
    <row r="221" ht="15.75" customHeight="1" s="25"/>
    <row r="222" ht="15.75" customHeight="1" s="25"/>
    <row r="223" ht="15.75" customHeight="1" s="25"/>
    <row r="224" ht="15.75" customHeight="1" s="25"/>
    <row r="225" ht="15.75" customHeight="1" s="25"/>
    <row r="226" ht="15.75" customHeight="1" s="25"/>
    <row r="227" ht="15.75" customHeight="1" s="25"/>
    <row r="228" ht="15.75" customHeight="1" s="25"/>
    <row r="229" ht="15.75" customHeight="1" s="25"/>
    <row r="230" ht="15.75" customHeight="1" s="25"/>
    <row r="231" ht="15.75" customHeight="1" s="25"/>
    <row r="232" ht="15.75" customHeight="1" s="25"/>
    <row r="233" ht="15.75" customHeight="1" s="25"/>
    <row r="234" ht="15.75" customHeight="1" s="25"/>
    <row r="235" ht="15.75" customHeight="1" s="25"/>
    <row r="236" ht="15.75" customHeight="1" s="25"/>
    <row r="237" ht="15.75" customHeight="1" s="25"/>
    <row r="238" ht="15.75" customHeight="1" s="25"/>
    <row r="239" ht="15.75" customHeight="1" s="25"/>
    <row r="240" ht="15.75" customHeight="1" s="25"/>
    <row r="241" ht="15.75" customHeight="1" s="25"/>
    <row r="242" ht="15.75" customHeight="1" s="25"/>
    <row r="243" ht="15.75" customHeight="1" s="25"/>
    <row r="244" ht="15.75" customHeight="1" s="25"/>
    <row r="245" ht="15.75" customHeight="1" s="25"/>
    <row r="246" ht="15.75" customHeight="1" s="25"/>
    <row r="247" ht="15.75" customHeight="1" s="25"/>
    <row r="248" ht="15.75" customHeight="1" s="25"/>
    <row r="249" ht="15.75" customHeight="1" s="25"/>
    <row r="250" ht="15.75" customHeight="1" s="25"/>
    <row r="251" ht="15.75" customHeight="1" s="25"/>
    <row r="252" ht="15.75" customHeight="1" s="25"/>
    <row r="253" ht="15.75" customHeight="1" s="25"/>
    <row r="254" ht="15.75" customHeight="1" s="25"/>
    <row r="255" ht="15.75" customHeight="1" s="25"/>
    <row r="256" ht="15.75" customHeight="1" s="25"/>
    <row r="257" ht="15.75" customHeight="1" s="25"/>
    <row r="258" ht="15.75" customHeight="1" s="25"/>
    <row r="259" ht="15.75" customHeight="1" s="25"/>
    <row r="260" ht="15.75" customHeight="1" s="25"/>
    <row r="261" ht="15.75" customHeight="1" s="25"/>
    <row r="262" ht="15.75" customHeight="1" s="25"/>
    <row r="263" ht="15.75" customHeight="1" s="25"/>
    <row r="264" ht="15.75" customHeight="1" s="25"/>
    <row r="265" ht="15.75" customHeight="1" s="25"/>
    <row r="266" ht="15.75" customHeight="1" s="25"/>
    <row r="267" ht="15.75" customHeight="1" s="25"/>
    <row r="268" ht="15.75" customHeight="1" s="25"/>
    <row r="269" ht="15.75" customHeight="1" s="25"/>
    <row r="270" ht="15.75" customHeight="1" s="25"/>
    <row r="271" ht="15.75" customHeight="1" s="25"/>
    <row r="272" ht="15.75" customHeight="1" s="25"/>
    <row r="273" ht="15.75" customHeight="1" s="25"/>
    <row r="274" ht="15.75" customHeight="1" s="25"/>
    <row r="275" ht="15.75" customHeight="1" s="25"/>
    <row r="276" ht="15.75" customHeight="1" s="25"/>
    <row r="277" ht="15.75" customHeight="1" s="25"/>
    <row r="278" ht="15.75" customHeight="1" s="25"/>
    <row r="279" ht="15.75" customHeight="1" s="25"/>
    <row r="280" ht="15.75" customHeight="1" s="25"/>
    <row r="281" ht="15.75" customHeight="1" s="25"/>
    <row r="282" ht="15.75" customHeight="1" s="25"/>
    <row r="283" ht="15.75" customHeight="1" s="25"/>
    <row r="284" ht="15.75" customHeight="1" s="25"/>
    <row r="285" ht="15.75" customHeight="1" s="25"/>
    <row r="286" ht="15.75" customHeight="1" s="25"/>
    <row r="287" ht="15.75" customHeight="1" s="25"/>
    <row r="288" ht="15.75" customHeight="1" s="25"/>
    <row r="289" ht="15.75" customHeight="1" s="25"/>
    <row r="290" ht="15.75" customHeight="1" s="25"/>
    <row r="291" ht="15.75" customHeight="1" s="25"/>
    <row r="292" ht="15.75" customHeight="1" s="25"/>
    <row r="293" ht="15.75" customHeight="1" s="25"/>
    <row r="294" ht="15.75" customHeight="1" s="25"/>
    <row r="295" ht="15.75" customHeight="1" s="25"/>
    <row r="296" ht="15.75" customHeight="1" s="25"/>
    <row r="297" ht="15.75" customHeight="1" s="25"/>
    <row r="298" ht="15.75" customHeight="1" s="25"/>
    <row r="299" ht="15.75" customHeight="1" s="25"/>
    <row r="300" ht="15.75" customHeight="1" s="25"/>
    <row r="301" ht="15.75" customHeight="1" s="25"/>
    <row r="302" ht="15.75" customHeight="1" s="25"/>
    <row r="303" ht="15.75" customHeight="1" s="25"/>
    <row r="304" ht="15.75" customHeight="1" s="25"/>
    <row r="305" ht="15.75" customHeight="1" s="25"/>
    <row r="306" ht="15.75" customHeight="1" s="25"/>
    <row r="307" ht="15.75" customHeight="1" s="25"/>
    <row r="308" ht="15.75" customHeight="1" s="25"/>
    <row r="309" ht="15.75" customHeight="1" s="25"/>
    <row r="310" ht="15.75" customHeight="1" s="25"/>
    <row r="311" ht="15.75" customHeight="1" s="25"/>
    <row r="312" ht="15.75" customHeight="1" s="25"/>
    <row r="313" ht="15.75" customHeight="1" s="25"/>
    <row r="314" ht="15.75" customHeight="1" s="25"/>
    <row r="315" ht="15.75" customHeight="1" s="25"/>
    <row r="316" ht="15.75" customHeight="1" s="25"/>
    <row r="317" ht="15.75" customHeight="1" s="25"/>
    <row r="318" ht="15.75" customHeight="1" s="25"/>
    <row r="319" ht="15.75" customHeight="1" s="25"/>
    <row r="320" ht="15.75" customHeight="1" s="25"/>
    <row r="321" ht="15.75" customHeight="1" s="25"/>
    <row r="322" ht="15.75" customHeight="1" s="25"/>
    <row r="323" ht="15.75" customHeight="1" s="25"/>
    <row r="324" ht="15.75" customHeight="1" s="25"/>
    <row r="325" ht="15.75" customHeight="1" s="25"/>
    <row r="326" ht="15.75" customHeight="1" s="25"/>
    <row r="327" ht="15.75" customHeight="1" s="25"/>
    <row r="328" ht="15.75" customHeight="1" s="25"/>
    <row r="329" ht="15.75" customHeight="1" s="25"/>
    <row r="330" ht="15.75" customHeight="1" s="25"/>
    <row r="331" ht="15.75" customHeight="1" s="25"/>
    <row r="332" ht="15.75" customHeight="1" s="25"/>
    <row r="333" ht="15.75" customHeight="1" s="25"/>
    <row r="334" ht="15.75" customHeight="1" s="25"/>
    <row r="335" ht="15.75" customHeight="1" s="25"/>
    <row r="336" ht="15.75" customHeight="1" s="25"/>
    <row r="337" ht="15.75" customHeight="1" s="25"/>
    <row r="338" ht="15.75" customHeight="1" s="25"/>
    <row r="339" ht="15.75" customHeight="1" s="25"/>
    <row r="340" ht="15.75" customHeight="1" s="25"/>
    <row r="341" ht="15.75" customHeight="1" s="25"/>
    <row r="342" ht="15.75" customHeight="1" s="25"/>
    <row r="343" ht="15.75" customHeight="1" s="25"/>
    <row r="344" ht="15.75" customHeight="1" s="25"/>
    <row r="345" ht="15.75" customHeight="1" s="25"/>
    <row r="346" ht="15.75" customHeight="1" s="25"/>
    <row r="347" ht="15.75" customHeight="1" s="25"/>
    <row r="348" ht="15.75" customHeight="1" s="25"/>
    <row r="349" ht="15.75" customHeight="1" s="25"/>
    <row r="350" ht="15.75" customHeight="1" s="25"/>
    <row r="351" ht="15.75" customHeight="1" s="25"/>
    <row r="352" ht="15.75" customHeight="1" s="25"/>
    <row r="353" ht="15.75" customHeight="1" s="25"/>
    <row r="354" ht="15.75" customHeight="1" s="25"/>
    <row r="355" ht="15.75" customHeight="1" s="25"/>
    <row r="356" ht="15.75" customHeight="1" s="25"/>
    <row r="357" ht="15.75" customHeight="1" s="25"/>
    <row r="358" ht="15.75" customHeight="1" s="25"/>
    <row r="359" ht="15.75" customHeight="1" s="25"/>
    <row r="360" ht="15.75" customHeight="1" s="25"/>
    <row r="361" ht="15.75" customHeight="1" s="25"/>
    <row r="362" ht="15.75" customHeight="1" s="25"/>
    <row r="363" ht="15.75" customHeight="1" s="25"/>
    <row r="364" ht="15.75" customHeight="1" s="25"/>
    <row r="365" ht="15.75" customHeight="1" s="25"/>
    <row r="366" ht="15.75" customHeight="1" s="25"/>
    <row r="367" ht="15.75" customHeight="1" s="25"/>
    <row r="368" ht="15.75" customHeight="1" s="25"/>
    <row r="369" ht="15.75" customHeight="1" s="25"/>
    <row r="370" ht="15.75" customHeight="1" s="25"/>
    <row r="371" ht="15.75" customHeight="1" s="25"/>
    <row r="372" ht="15.75" customHeight="1" s="25"/>
    <row r="373" ht="15.75" customHeight="1" s="25"/>
    <row r="374" ht="15.75" customHeight="1" s="25"/>
    <row r="375" ht="15.75" customHeight="1" s="25"/>
    <row r="376" ht="15.75" customHeight="1" s="25"/>
    <row r="377" ht="15.75" customHeight="1" s="25"/>
    <row r="378" ht="15.75" customHeight="1" s="25"/>
    <row r="379" ht="15.75" customHeight="1" s="25"/>
    <row r="380" ht="15.75" customHeight="1" s="25"/>
    <row r="381" ht="15.75" customHeight="1" s="25"/>
    <row r="382" ht="15.75" customHeight="1" s="25"/>
    <row r="383" ht="15.75" customHeight="1" s="25"/>
    <row r="384" ht="15.75" customHeight="1" s="25"/>
    <row r="385" ht="15.75" customHeight="1" s="25"/>
    <row r="386" ht="15.75" customHeight="1" s="25"/>
    <row r="387" ht="15.75" customHeight="1" s="25"/>
    <row r="388" ht="15.75" customHeight="1" s="25"/>
    <row r="389" ht="15.75" customHeight="1" s="25"/>
    <row r="390" ht="15.75" customHeight="1" s="25"/>
    <row r="391" ht="15.75" customHeight="1" s="25"/>
    <row r="392" ht="15.75" customHeight="1" s="25"/>
    <row r="393" ht="15.75" customHeight="1" s="25"/>
    <row r="394" ht="15.75" customHeight="1" s="25"/>
    <row r="395" ht="15.75" customHeight="1" s="25"/>
    <row r="396" ht="15.75" customHeight="1" s="25"/>
    <row r="397" ht="15.75" customHeight="1" s="25"/>
    <row r="398" ht="15.75" customHeight="1" s="25"/>
    <row r="399" ht="15.75" customHeight="1" s="25"/>
    <row r="400" ht="15.75" customHeight="1" s="25"/>
    <row r="401" ht="15.75" customHeight="1" s="25"/>
    <row r="402" ht="15.75" customHeight="1" s="25"/>
    <row r="403" ht="15.75" customHeight="1" s="25"/>
    <row r="404" ht="15.75" customHeight="1" s="25"/>
    <row r="405" ht="15.75" customHeight="1" s="25"/>
    <row r="406" ht="15.75" customHeight="1" s="25"/>
    <row r="407" ht="15.75" customHeight="1" s="25"/>
    <row r="408" ht="15.75" customHeight="1" s="25"/>
    <row r="409" ht="15.75" customHeight="1" s="25"/>
    <row r="410" ht="15.75" customHeight="1" s="25"/>
    <row r="411" ht="15.75" customHeight="1" s="25"/>
    <row r="412" ht="15.75" customHeight="1" s="25"/>
    <row r="413" ht="15.75" customHeight="1" s="25"/>
    <row r="414" ht="15.75" customHeight="1" s="25"/>
    <row r="415" ht="15.75" customHeight="1" s="25"/>
    <row r="416" ht="15.75" customHeight="1" s="25"/>
    <row r="417" ht="15.75" customHeight="1" s="25"/>
    <row r="418" ht="15.75" customHeight="1" s="25"/>
    <row r="419" ht="15.75" customHeight="1" s="25"/>
    <row r="420" ht="15.75" customHeight="1" s="25"/>
    <row r="421" ht="15.75" customHeight="1" s="25"/>
    <row r="422" ht="15.75" customHeight="1" s="25"/>
    <row r="423" ht="15.75" customHeight="1" s="25"/>
    <row r="424" ht="15.75" customHeight="1" s="25"/>
    <row r="425" ht="15.75" customHeight="1" s="25"/>
    <row r="426" ht="15.75" customHeight="1" s="25"/>
    <row r="427" ht="15.75" customHeight="1" s="25"/>
    <row r="428" ht="15.75" customHeight="1" s="25"/>
    <row r="429" ht="15.75" customHeight="1" s="25"/>
    <row r="430" ht="15.75" customHeight="1" s="25"/>
    <row r="431" ht="15.75" customHeight="1" s="25"/>
    <row r="432" ht="15.75" customHeight="1" s="25"/>
    <row r="433" ht="15.75" customHeight="1" s="25"/>
    <row r="434" ht="15.75" customHeight="1" s="25"/>
    <row r="435" ht="15.75" customHeight="1" s="25"/>
    <row r="436" ht="15.75" customHeight="1" s="25"/>
    <row r="437" ht="15.75" customHeight="1" s="25"/>
    <row r="438" ht="15.75" customHeight="1" s="25"/>
    <row r="439" ht="15.75" customHeight="1" s="25"/>
    <row r="440" ht="15.75" customHeight="1" s="25"/>
    <row r="441" ht="15.75" customHeight="1" s="25"/>
    <row r="442" ht="15.75" customHeight="1" s="25"/>
    <row r="443" ht="15.75" customHeight="1" s="25"/>
    <row r="444" ht="15.75" customHeight="1" s="25"/>
    <row r="445" ht="15.75" customHeight="1" s="25"/>
    <row r="446" ht="15.75" customHeight="1" s="25"/>
    <row r="447" ht="15.75" customHeight="1" s="25"/>
    <row r="448" ht="15.75" customHeight="1" s="25"/>
    <row r="449" ht="15.75" customHeight="1" s="25"/>
    <row r="450" ht="15.75" customHeight="1" s="25"/>
    <row r="451" ht="15.75" customHeight="1" s="25"/>
    <row r="452" ht="15.75" customHeight="1" s="25"/>
    <row r="453" ht="15.75" customHeight="1" s="25"/>
    <row r="454" ht="15.75" customHeight="1" s="25"/>
    <row r="455" ht="15.75" customHeight="1" s="25"/>
    <row r="456" ht="15.75" customHeight="1" s="25"/>
    <row r="457" ht="15.75" customHeight="1" s="25"/>
    <row r="458" ht="15.75" customHeight="1" s="25"/>
    <row r="459" ht="15.75" customHeight="1" s="25"/>
    <row r="460" ht="15.75" customHeight="1" s="25"/>
    <row r="461" ht="15.75" customHeight="1" s="25"/>
    <row r="462" ht="15.75" customHeight="1" s="25"/>
    <row r="463" ht="15.75" customHeight="1" s="25"/>
    <row r="464" ht="15.75" customHeight="1" s="25"/>
    <row r="465" ht="15.75" customHeight="1" s="25"/>
    <row r="466" ht="15.75" customHeight="1" s="25"/>
    <row r="467" ht="15.75" customHeight="1" s="25"/>
    <row r="468" ht="15.75" customHeight="1" s="25"/>
    <row r="469" ht="15.75" customHeight="1" s="25"/>
    <row r="470" ht="15.75" customHeight="1" s="25"/>
    <row r="471" ht="15.75" customHeight="1" s="25"/>
    <row r="472" ht="15.75" customHeight="1" s="25"/>
    <row r="473" ht="15.75" customHeight="1" s="25"/>
    <row r="474" ht="15.75" customHeight="1" s="25"/>
    <row r="475" ht="15.75" customHeight="1" s="25"/>
    <row r="476" ht="15.75" customHeight="1" s="25"/>
    <row r="477" ht="15.75" customHeight="1" s="25"/>
    <row r="478" ht="15.75" customHeight="1" s="25"/>
    <row r="479" ht="15.75" customHeight="1" s="25"/>
    <row r="480" ht="15.75" customHeight="1" s="25"/>
    <row r="481" ht="15.75" customHeight="1" s="25"/>
    <row r="482" ht="15.75" customHeight="1" s="25"/>
    <row r="483" ht="15.75" customHeight="1" s="25"/>
    <row r="484" ht="15.75" customHeight="1" s="25"/>
    <row r="485" ht="15.75" customHeight="1" s="25"/>
    <row r="486" ht="15.75" customHeight="1" s="25"/>
    <row r="487" ht="15.75" customHeight="1" s="25"/>
    <row r="488" ht="15.75" customHeight="1" s="25"/>
    <row r="489" ht="15.75" customHeight="1" s="25"/>
    <row r="490" ht="15.75" customHeight="1" s="25"/>
    <row r="491" ht="15.75" customHeight="1" s="25"/>
    <row r="492" ht="15.75" customHeight="1" s="25"/>
    <row r="493" ht="15.75" customHeight="1" s="25"/>
    <row r="494" ht="15.75" customHeight="1" s="25"/>
    <row r="495" ht="15.75" customHeight="1" s="25"/>
    <row r="496" ht="15.75" customHeight="1" s="25"/>
    <row r="497" ht="15.75" customHeight="1" s="25"/>
    <row r="498" ht="15.75" customHeight="1" s="25"/>
    <row r="499" ht="15.75" customHeight="1" s="25"/>
    <row r="500" ht="15.75" customHeight="1" s="25"/>
    <row r="501" ht="15.75" customHeight="1" s="25"/>
    <row r="502" ht="15.75" customHeight="1" s="25"/>
    <row r="503" ht="15.75" customHeight="1" s="25"/>
    <row r="504" ht="15.75" customHeight="1" s="25"/>
    <row r="505" ht="15.75" customHeight="1" s="25"/>
    <row r="506" ht="15.75" customHeight="1" s="25"/>
    <row r="507" ht="15.75" customHeight="1" s="25"/>
    <row r="508" ht="15.75" customHeight="1" s="25"/>
    <row r="509" ht="15.75" customHeight="1" s="25"/>
    <row r="510" ht="15.75" customHeight="1" s="25"/>
    <row r="511" ht="15.75" customHeight="1" s="25"/>
    <row r="512" ht="15.75" customHeight="1" s="25"/>
    <row r="513" ht="15.75" customHeight="1" s="25"/>
    <row r="514" ht="15.75" customHeight="1" s="25"/>
    <row r="515" ht="15.75" customHeight="1" s="25"/>
    <row r="516" ht="15.75" customHeight="1" s="25"/>
    <row r="517" ht="15.75" customHeight="1" s="25"/>
    <row r="518" ht="15.75" customHeight="1" s="25"/>
    <row r="519" ht="15.75" customHeight="1" s="25"/>
    <row r="520" ht="15.75" customHeight="1" s="25"/>
    <row r="521" ht="15.75" customHeight="1" s="25"/>
    <row r="522" ht="15.75" customHeight="1" s="25"/>
    <row r="523" ht="15.75" customHeight="1" s="25"/>
    <row r="524" ht="15.75" customHeight="1" s="25"/>
    <row r="525" ht="15.75" customHeight="1" s="25"/>
    <row r="526" ht="15.75" customHeight="1" s="25"/>
    <row r="527" ht="15.75" customHeight="1" s="25"/>
    <row r="528" ht="15.75" customHeight="1" s="25"/>
    <row r="529" ht="15.75" customHeight="1" s="25"/>
    <row r="530" ht="15.75" customHeight="1" s="25"/>
    <row r="531" ht="15.75" customHeight="1" s="25"/>
    <row r="532" ht="15.75" customHeight="1" s="25"/>
    <row r="533" ht="15.75" customHeight="1" s="25"/>
    <row r="534" ht="15.75" customHeight="1" s="25"/>
    <row r="535" ht="15.75" customHeight="1" s="25"/>
    <row r="536" ht="15.75" customHeight="1" s="25"/>
    <row r="537" ht="15.75" customHeight="1" s="25"/>
    <row r="538" ht="15.75" customHeight="1" s="25"/>
    <row r="539" ht="15.75" customHeight="1" s="25"/>
    <row r="540" ht="15.75" customHeight="1" s="25"/>
    <row r="541" ht="15.75" customHeight="1" s="25"/>
    <row r="542" ht="15.75" customHeight="1" s="25"/>
    <row r="543" ht="15.75" customHeight="1" s="25"/>
    <row r="544" ht="15.75" customHeight="1" s="25"/>
    <row r="545" ht="15.75" customHeight="1" s="25"/>
    <row r="546" ht="15.75" customHeight="1" s="25"/>
    <row r="547" ht="15.75" customHeight="1" s="25"/>
    <row r="548" ht="15.75" customHeight="1" s="25"/>
    <row r="549" ht="15.75" customHeight="1" s="25"/>
    <row r="550" ht="15.75" customHeight="1" s="25"/>
    <row r="551" ht="15.75" customHeight="1" s="25"/>
    <row r="552" ht="15.75" customHeight="1" s="25"/>
    <row r="553" ht="15.75" customHeight="1" s="25"/>
    <row r="554" ht="15.75" customHeight="1" s="25"/>
    <row r="555" ht="15.75" customHeight="1" s="25"/>
    <row r="556" ht="15.75" customHeight="1" s="25"/>
    <row r="557" ht="15.75" customHeight="1" s="25"/>
    <row r="558" ht="15.75" customHeight="1" s="25"/>
    <row r="559" ht="15.75" customHeight="1" s="25"/>
    <row r="560" ht="15.75" customHeight="1" s="25"/>
    <row r="561" ht="15.75" customHeight="1" s="25"/>
    <row r="562" ht="15.75" customHeight="1" s="25"/>
    <row r="563" ht="15.75" customHeight="1" s="25"/>
    <row r="564" ht="15.75" customHeight="1" s="25"/>
    <row r="565" ht="15.75" customHeight="1" s="25"/>
    <row r="566" ht="15.75" customHeight="1" s="25"/>
    <row r="567" ht="15.75" customHeight="1" s="25"/>
    <row r="568" ht="15.75" customHeight="1" s="25"/>
    <row r="569" ht="15.75" customHeight="1" s="25"/>
    <row r="570" ht="15.75" customHeight="1" s="25"/>
    <row r="571" ht="15.75" customHeight="1" s="25"/>
    <row r="572" ht="15.75" customHeight="1" s="25"/>
    <row r="573" ht="15.75" customHeight="1" s="25"/>
    <row r="574" ht="15.75" customHeight="1" s="25"/>
    <row r="575" ht="15.75" customHeight="1" s="25"/>
    <row r="576" ht="15.75" customHeight="1" s="25"/>
    <row r="577" ht="15.75" customHeight="1" s="25"/>
    <row r="578" ht="15.75" customHeight="1" s="25"/>
    <row r="579" ht="15.75" customHeight="1" s="25"/>
    <row r="580" ht="15.75" customHeight="1" s="25"/>
    <row r="581" ht="15.75" customHeight="1" s="25"/>
    <row r="582" ht="15.75" customHeight="1" s="25"/>
    <row r="583" ht="15.75" customHeight="1" s="25"/>
    <row r="584" ht="15.75" customHeight="1" s="25"/>
    <row r="585" ht="15.75" customHeight="1" s="25"/>
    <row r="586" ht="15.75" customHeight="1" s="25"/>
    <row r="587" ht="15.75" customHeight="1" s="25"/>
    <row r="588" ht="15.75" customHeight="1" s="25"/>
    <row r="589" ht="15.75" customHeight="1" s="25"/>
    <row r="590" ht="15.75" customHeight="1" s="25"/>
    <row r="591" ht="15.75" customHeight="1" s="25"/>
    <row r="592" ht="15.75" customHeight="1" s="25"/>
    <row r="593" ht="15.75" customHeight="1" s="25"/>
    <row r="594" ht="15.75" customHeight="1" s="25"/>
    <row r="595" ht="15.75" customHeight="1" s="25"/>
    <row r="596" ht="15.75" customHeight="1" s="25"/>
    <row r="597" ht="15.75" customHeight="1" s="25"/>
    <row r="598" ht="15.75" customHeight="1" s="25"/>
    <row r="599" ht="15.75" customHeight="1" s="25"/>
    <row r="600" ht="15.75" customHeight="1" s="25"/>
    <row r="601" ht="15.75" customHeight="1" s="25"/>
    <row r="602" ht="15.75" customHeight="1" s="25"/>
    <row r="603" ht="15.75" customHeight="1" s="25"/>
    <row r="604" ht="15.75" customHeight="1" s="25"/>
    <row r="605" ht="15.75" customHeight="1" s="25"/>
    <row r="606" ht="15.75" customHeight="1" s="25"/>
    <row r="607" ht="15.75" customHeight="1" s="25"/>
    <row r="608" ht="15.75" customHeight="1" s="25"/>
    <row r="609" ht="15.75" customHeight="1" s="25"/>
    <row r="610" ht="15.75" customHeight="1" s="25"/>
    <row r="611" ht="15.75" customHeight="1" s="25"/>
    <row r="612" ht="15.75" customHeight="1" s="25"/>
    <row r="613" ht="15.75" customHeight="1" s="25"/>
    <row r="614" ht="15.75" customHeight="1" s="25"/>
    <row r="615" ht="15.75" customHeight="1" s="25"/>
    <row r="616" ht="15.75" customHeight="1" s="25"/>
    <row r="617" ht="15.75" customHeight="1" s="25"/>
    <row r="618" ht="15.75" customHeight="1" s="25"/>
    <row r="619" ht="15.75" customHeight="1" s="25"/>
    <row r="620" ht="15.75" customHeight="1" s="25"/>
    <row r="621" ht="15.75" customHeight="1" s="25"/>
    <row r="622" ht="15.75" customHeight="1" s="25"/>
    <row r="623" ht="15.75" customHeight="1" s="25"/>
    <row r="624" ht="15.75" customHeight="1" s="25"/>
    <row r="625" ht="15.75" customHeight="1" s="25"/>
    <row r="626" ht="15.75" customHeight="1" s="25"/>
    <row r="627" ht="15.75" customHeight="1" s="25"/>
    <row r="628" ht="15.75" customHeight="1" s="25"/>
    <row r="629" ht="15.75" customHeight="1" s="25"/>
    <row r="630" ht="15.75" customHeight="1" s="25"/>
    <row r="631" ht="15.75" customHeight="1" s="25"/>
    <row r="632" ht="15.75" customHeight="1" s="25"/>
    <row r="633" ht="15.75" customHeight="1" s="25"/>
    <row r="634" ht="15.75" customHeight="1" s="25"/>
    <row r="635" ht="15.75" customHeight="1" s="25"/>
    <row r="636" ht="15.75" customHeight="1" s="25"/>
    <row r="637" ht="15.75" customHeight="1" s="25"/>
    <row r="638" ht="15.75" customHeight="1" s="25"/>
    <row r="639" ht="15.75" customHeight="1" s="25"/>
    <row r="640" ht="15.75" customHeight="1" s="25"/>
    <row r="641" ht="15.75" customHeight="1" s="25"/>
    <row r="642" ht="15.75" customHeight="1" s="25"/>
    <row r="643" ht="15.75" customHeight="1" s="25"/>
    <row r="644" ht="15.75" customHeight="1" s="25"/>
    <row r="645" ht="15.75" customHeight="1" s="25"/>
    <row r="646" ht="15.75" customHeight="1" s="25"/>
    <row r="647" ht="15.75" customHeight="1" s="25"/>
    <row r="648" ht="15.75" customHeight="1" s="25"/>
    <row r="649" ht="15.75" customHeight="1" s="25"/>
    <row r="650" ht="15.75" customHeight="1" s="25"/>
    <row r="651" ht="15.75" customHeight="1" s="25"/>
    <row r="652" ht="15.75" customHeight="1" s="25"/>
    <row r="653" ht="15.75" customHeight="1" s="25"/>
    <row r="654" ht="15.75" customHeight="1" s="25"/>
    <row r="655" ht="15.75" customHeight="1" s="25"/>
    <row r="656" ht="15.75" customHeight="1" s="25"/>
    <row r="657" ht="15.75" customHeight="1" s="25"/>
    <row r="658" ht="15.75" customHeight="1" s="25"/>
    <row r="659" ht="15.75" customHeight="1" s="25"/>
    <row r="660" ht="15.75" customHeight="1" s="25"/>
    <row r="661" ht="15.75" customHeight="1" s="25"/>
    <row r="662" ht="15.75" customHeight="1" s="25"/>
    <row r="663" ht="15.75" customHeight="1" s="25"/>
    <row r="664" ht="15.75" customHeight="1" s="25"/>
    <row r="665" ht="15.75" customHeight="1" s="25"/>
    <row r="666" ht="15.75" customHeight="1" s="25"/>
    <row r="667" ht="15.75" customHeight="1" s="25"/>
    <row r="668" ht="15.75" customHeight="1" s="25"/>
    <row r="669" ht="15.75" customHeight="1" s="25"/>
    <row r="670" ht="15.75" customHeight="1" s="25"/>
    <row r="671" ht="15.75" customHeight="1" s="25"/>
    <row r="672" ht="15.75" customHeight="1" s="25"/>
    <row r="673" ht="15.75" customHeight="1" s="25"/>
    <row r="674" ht="15.75" customHeight="1" s="25"/>
    <row r="675" ht="15.75" customHeight="1" s="25"/>
    <row r="676" ht="15.75" customHeight="1" s="25"/>
    <row r="677" ht="15.75" customHeight="1" s="25"/>
    <row r="678" ht="15.75" customHeight="1" s="25"/>
    <row r="679" ht="15.75" customHeight="1" s="25"/>
    <row r="680" ht="15.75" customHeight="1" s="25"/>
    <row r="681" ht="15.75" customHeight="1" s="25"/>
    <row r="682" ht="15.75" customHeight="1" s="25"/>
    <row r="683" ht="15.75" customHeight="1" s="25"/>
    <row r="684" ht="15.75" customHeight="1" s="25"/>
    <row r="685" ht="15.75" customHeight="1" s="25"/>
    <row r="686" ht="15.75" customHeight="1" s="25"/>
    <row r="687" ht="15.75" customHeight="1" s="25"/>
    <row r="688" ht="15.75" customHeight="1" s="25"/>
    <row r="689" ht="15.75" customHeight="1" s="25"/>
    <row r="690" ht="15.75" customHeight="1" s="25"/>
    <row r="691" ht="15.75" customHeight="1" s="25"/>
    <row r="692" ht="15.75" customHeight="1" s="25"/>
    <row r="693" ht="15.75" customHeight="1" s="25"/>
    <row r="694" ht="15.75" customHeight="1" s="25"/>
    <row r="695" ht="15.75" customHeight="1" s="25"/>
    <row r="696" ht="15.75" customHeight="1" s="25"/>
    <row r="697" ht="15.75" customHeight="1" s="25"/>
    <row r="698" ht="15.75" customHeight="1" s="25"/>
    <row r="699" ht="15.75" customHeight="1" s="25"/>
    <row r="700" ht="15.75" customHeight="1" s="25"/>
    <row r="701" ht="15.75" customHeight="1" s="25"/>
    <row r="702" ht="15.75" customHeight="1" s="25"/>
    <row r="703" ht="15.75" customHeight="1" s="25"/>
    <row r="704" ht="15.75" customHeight="1" s="25"/>
    <row r="705" ht="15.75" customHeight="1" s="25"/>
    <row r="706" ht="15.75" customHeight="1" s="25"/>
    <row r="707" ht="15.75" customHeight="1" s="25"/>
    <row r="708" ht="15.75" customHeight="1" s="25"/>
    <row r="709" ht="15.75" customHeight="1" s="25"/>
    <row r="710" ht="15.75" customHeight="1" s="25"/>
    <row r="711" ht="15.75" customHeight="1" s="25"/>
    <row r="712" ht="15.75" customHeight="1" s="25"/>
    <row r="713" ht="15.75" customHeight="1" s="25"/>
    <row r="714" ht="15.75" customHeight="1" s="25"/>
    <row r="715" ht="15.75" customHeight="1" s="25"/>
    <row r="716" ht="15.75" customHeight="1" s="25"/>
    <row r="717" ht="15.75" customHeight="1" s="25"/>
    <row r="718" ht="15.75" customHeight="1" s="25"/>
    <row r="719" ht="15.75" customHeight="1" s="25"/>
    <row r="720" ht="15.75" customHeight="1" s="25"/>
    <row r="721" ht="15.75" customHeight="1" s="25"/>
    <row r="722" ht="15.75" customHeight="1" s="25"/>
    <row r="723" ht="15.75" customHeight="1" s="25"/>
    <row r="724" ht="15.75" customHeight="1" s="25"/>
    <row r="725" ht="15.75" customHeight="1" s="25"/>
    <row r="726" ht="15.75" customHeight="1" s="25"/>
    <row r="727" ht="15.75" customHeight="1" s="25"/>
    <row r="728" ht="15.75" customHeight="1" s="25"/>
    <row r="729" ht="15.75" customHeight="1" s="25"/>
    <row r="730" ht="15.75" customHeight="1" s="25"/>
    <row r="731" ht="15.75" customHeight="1" s="25"/>
    <row r="732" ht="15.75" customHeight="1" s="25"/>
    <row r="733" ht="15.75" customHeight="1" s="25"/>
    <row r="734" ht="15.75" customHeight="1" s="25"/>
    <row r="735" ht="15.75" customHeight="1" s="25"/>
    <row r="736" ht="15.75" customHeight="1" s="25"/>
    <row r="737" ht="15.75" customHeight="1" s="25"/>
    <row r="738" ht="15.75" customHeight="1" s="25"/>
    <row r="739" ht="15.75" customHeight="1" s="25"/>
    <row r="740" ht="15.75" customHeight="1" s="25"/>
    <row r="741" ht="15.75" customHeight="1" s="25"/>
    <row r="742" ht="15.75" customHeight="1" s="25"/>
    <row r="743" ht="15.75" customHeight="1" s="25"/>
    <row r="744" ht="15.75" customHeight="1" s="25"/>
    <row r="745" ht="15.75" customHeight="1" s="25"/>
    <row r="746" ht="15.75" customHeight="1" s="25"/>
    <row r="747" ht="15.75" customHeight="1" s="25"/>
    <row r="748" ht="15.75" customHeight="1" s="25"/>
    <row r="749" ht="15.75" customHeight="1" s="25"/>
    <row r="750" ht="15.75" customHeight="1" s="25"/>
    <row r="751" ht="15.75" customHeight="1" s="25"/>
    <row r="752" ht="15.75" customHeight="1" s="25"/>
    <row r="753" ht="15.75" customHeight="1" s="25"/>
    <row r="754" ht="15.75" customHeight="1" s="25"/>
    <row r="755" ht="15.75" customHeight="1" s="25"/>
    <row r="756" ht="15.75" customHeight="1" s="25"/>
    <row r="757" ht="15.75" customHeight="1" s="25"/>
    <row r="758" ht="15.75" customHeight="1" s="25"/>
    <row r="759" ht="15.75" customHeight="1" s="25"/>
    <row r="760" ht="15.75" customHeight="1" s="25"/>
    <row r="761" ht="15.75" customHeight="1" s="25"/>
    <row r="762" ht="15.75" customHeight="1" s="25"/>
    <row r="763" ht="15.75" customHeight="1" s="25"/>
    <row r="764" ht="15.75" customHeight="1" s="25"/>
    <row r="765" ht="15.75" customHeight="1" s="25"/>
    <row r="766" ht="15.75" customHeight="1" s="25"/>
    <row r="767" ht="15.75" customHeight="1" s="25"/>
    <row r="768" ht="15.75" customHeight="1" s="25"/>
    <row r="769" ht="15.75" customHeight="1" s="25"/>
    <row r="770" ht="15.75" customHeight="1" s="25"/>
    <row r="771" ht="15.75" customHeight="1" s="25"/>
    <row r="772" ht="15.75" customHeight="1" s="25"/>
    <row r="773" ht="15.75" customHeight="1" s="25"/>
    <row r="774" ht="15.75" customHeight="1" s="25"/>
    <row r="775" ht="15.75" customHeight="1" s="25"/>
    <row r="776" ht="15.75" customHeight="1" s="25"/>
    <row r="777" ht="15.75" customHeight="1" s="25"/>
    <row r="778" ht="15.75" customHeight="1" s="25"/>
    <row r="779" ht="15.75" customHeight="1" s="25"/>
    <row r="780" ht="15.75" customHeight="1" s="25"/>
    <row r="781" ht="15.75" customHeight="1" s="25"/>
    <row r="782" ht="15.75" customHeight="1" s="25"/>
    <row r="783" ht="15.75" customHeight="1" s="25"/>
    <row r="784" ht="15.75" customHeight="1" s="25"/>
    <row r="785" ht="15.75" customHeight="1" s="25"/>
    <row r="786" ht="15.75" customHeight="1" s="25"/>
    <row r="787" ht="15.75" customHeight="1" s="25"/>
    <row r="788" ht="15.75" customHeight="1" s="25"/>
    <row r="789" ht="15.75" customHeight="1" s="25"/>
    <row r="790" ht="15.75" customHeight="1" s="25"/>
    <row r="791" ht="15.75" customHeight="1" s="25"/>
    <row r="792" ht="15.75" customHeight="1" s="25"/>
    <row r="793" ht="15.75" customHeight="1" s="25"/>
    <row r="794" ht="15.75" customHeight="1" s="25"/>
    <row r="795" ht="15.75" customHeight="1" s="25"/>
    <row r="796" ht="15.75" customHeight="1" s="25"/>
    <row r="797" ht="15.75" customHeight="1" s="25"/>
    <row r="798" ht="15.75" customHeight="1" s="25"/>
    <row r="799" ht="15.75" customHeight="1" s="25"/>
    <row r="800" ht="15.75" customHeight="1" s="25"/>
    <row r="801" ht="15.75" customHeight="1" s="25"/>
    <row r="802" ht="15.75" customHeight="1" s="25"/>
    <row r="803" ht="15.75" customHeight="1" s="25"/>
    <row r="804" ht="15.75" customHeight="1" s="25"/>
    <row r="805" ht="15.75" customHeight="1" s="25"/>
    <row r="806" ht="15.75" customHeight="1" s="25"/>
    <row r="807" ht="15.75" customHeight="1" s="25"/>
    <row r="808" ht="15.75" customHeight="1" s="25"/>
    <row r="809" ht="15.75" customHeight="1" s="25"/>
    <row r="810" ht="15.75" customHeight="1" s="25"/>
    <row r="811" ht="15.75" customHeight="1" s="25"/>
    <row r="812" ht="15.75" customHeight="1" s="25"/>
    <row r="813" ht="15.75" customHeight="1" s="25"/>
    <row r="814" ht="15.75" customHeight="1" s="25"/>
    <row r="815" ht="15.75" customHeight="1" s="25"/>
    <row r="816" ht="15.75" customHeight="1" s="25"/>
    <row r="817" ht="15.75" customHeight="1" s="25"/>
    <row r="818" ht="15.75" customHeight="1" s="25"/>
    <row r="819" ht="15.75" customHeight="1" s="25"/>
    <row r="820" ht="15.75" customHeight="1" s="25"/>
    <row r="821" ht="15.75" customHeight="1" s="25"/>
    <row r="822" ht="15.75" customHeight="1" s="25"/>
    <row r="823" ht="15.75" customHeight="1" s="25"/>
    <row r="824" ht="15.75" customHeight="1" s="25"/>
    <row r="825" ht="15.75" customHeight="1" s="25"/>
    <row r="826" ht="15.75" customHeight="1" s="25"/>
    <row r="827" ht="15.75" customHeight="1" s="25"/>
    <row r="828" ht="15.75" customHeight="1" s="25"/>
    <row r="829" ht="15.75" customHeight="1" s="25"/>
    <row r="830" ht="15.75" customHeight="1" s="25"/>
    <row r="831" ht="15.75" customHeight="1" s="25"/>
    <row r="832" ht="15.75" customHeight="1" s="25"/>
    <row r="833" ht="15.75" customHeight="1" s="25"/>
    <row r="834" ht="15.75" customHeight="1" s="25"/>
    <row r="835" ht="15.75" customHeight="1" s="25"/>
    <row r="836" ht="15.75" customHeight="1" s="25"/>
    <row r="837" ht="15.75" customHeight="1" s="25"/>
    <row r="838" ht="15.75" customHeight="1" s="25"/>
    <row r="839" ht="15.75" customHeight="1" s="25"/>
    <row r="840" ht="15.75" customHeight="1" s="25"/>
    <row r="841" ht="15.75" customHeight="1" s="25"/>
    <row r="842" ht="15.75" customHeight="1" s="25"/>
    <row r="843" ht="15.75" customHeight="1" s="25"/>
    <row r="844" ht="15.75" customHeight="1" s="25"/>
    <row r="845" ht="15.75" customHeight="1" s="25"/>
    <row r="846" ht="15.75" customHeight="1" s="25"/>
    <row r="847" ht="15.75" customHeight="1" s="25"/>
    <row r="848" ht="15.75" customHeight="1" s="25"/>
    <row r="849" ht="15.75" customHeight="1" s="25"/>
    <row r="850" ht="15.75" customHeight="1" s="25"/>
    <row r="851" ht="15.75" customHeight="1" s="25"/>
    <row r="852" ht="15.75" customHeight="1" s="25"/>
    <row r="853" ht="15.75" customHeight="1" s="25"/>
    <row r="854" ht="15.75" customHeight="1" s="25"/>
    <row r="855" ht="15.75" customHeight="1" s="25"/>
    <row r="856" ht="15.75" customHeight="1" s="25"/>
    <row r="857" ht="15.75" customHeight="1" s="25"/>
    <row r="858" ht="15.75" customHeight="1" s="25"/>
    <row r="859" ht="15.75" customHeight="1" s="25"/>
    <row r="860" ht="15.75" customHeight="1" s="25"/>
    <row r="861" ht="15.75" customHeight="1" s="25"/>
    <row r="862" ht="15.75" customHeight="1" s="25"/>
    <row r="863" ht="15.75" customHeight="1" s="25"/>
    <row r="864" ht="15.75" customHeight="1" s="25"/>
    <row r="865" ht="15.75" customHeight="1" s="25"/>
    <row r="866" ht="15.75" customHeight="1" s="25"/>
    <row r="867" ht="15.75" customHeight="1" s="25"/>
    <row r="868" ht="15.75" customHeight="1" s="25"/>
    <row r="869" ht="15.75" customHeight="1" s="25"/>
    <row r="870" ht="15.75" customHeight="1" s="25"/>
    <row r="871" ht="15.75" customHeight="1" s="25"/>
    <row r="872" ht="15.75" customHeight="1" s="25"/>
    <row r="873" ht="15.75" customHeight="1" s="25"/>
    <row r="874" ht="15.75" customHeight="1" s="25"/>
    <row r="875" ht="15.75" customHeight="1" s="25"/>
    <row r="876" ht="15.75" customHeight="1" s="25"/>
    <row r="877" ht="15.75" customHeight="1" s="25"/>
    <row r="878" ht="15.75" customHeight="1" s="25"/>
    <row r="879" ht="15.75" customHeight="1" s="25"/>
    <row r="880" ht="15.75" customHeight="1" s="25"/>
    <row r="881" ht="15.75" customHeight="1" s="25"/>
    <row r="882" ht="15.75" customHeight="1" s="25"/>
    <row r="883" ht="15.75" customHeight="1" s="25"/>
    <row r="884" ht="15.75" customHeight="1" s="25"/>
    <row r="885" ht="15.75" customHeight="1" s="25"/>
    <row r="886" ht="15.75" customHeight="1" s="25"/>
    <row r="887" ht="15.75" customHeight="1" s="25"/>
    <row r="888" ht="15.75" customHeight="1" s="25"/>
    <row r="889" ht="15.75" customHeight="1" s="25"/>
    <row r="890" ht="15.75" customHeight="1" s="25"/>
    <row r="891" ht="15.75" customHeight="1" s="25"/>
    <row r="892" ht="15.75" customHeight="1" s="25"/>
    <row r="893" ht="15.75" customHeight="1" s="25"/>
    <row r="894" ht="15.75" customHeight="1" s="25"/>
    <row r="895" ht="15.75" customHeight="1" s="25"/>
    <row r="896" ht="15.75" customHeight="1" s="25"/>
    <row r="897" ht="15.75" customHeight="1" s="25"/>
    <row r="898" ht="15.75" customHeight="1" s="25"/>
    <row r="899" ht="15.75" customHeight="1" s="25"/>
    <row r="900" ht="15.75" customHeight="1" s="25"/>
    <row r="901" ht="15.75" customHeight="1" s="25"/>
    <row r="902" ht="15.75" customHeight="1" s="25"/>
    <row r="903" ht="15.75" customHeight="1" s="25"/>
    <row r="904" ht="15.75" customHeight="1" s="25"/>
    <row r="905" ht="15.75" customHeight="1" s="25"/>
    <row r="906" ht="15.75" customHeight="1" s="25"/>
    <row r="907" ht="15.75" customHeight="1" s="25"/>
    <row r="908" ht="15.75" customHeight="1" s="25"/>
    <row r="909" ht="15.75" customHeight="1" s="25"/>
    <row r="910" ht="15.75" customHeight="1" s="25"/>
    <row r="911" ht="15.75" customHeight="1" s="25"/>
    <row r="912" ht="15.75" customHeight="1" s="25"/>
    <row r="913" ht="15.75" customHeight="1" s="25"/>
    <row r="914" ht="15.75" customHeight="1" s="25"/>
    <row r="915" ht="15.75" customHeight="1" s="25"/>
    <row r="916" ht="15.75" customHeight="1" s="25"/>
    <row r="917" ht="15.75" customHeight="1" s="25"/>
    <row r="918" ht="15.75" customHeight="1" s="25"/>
    <row r="919" ht="15.75" customHeight="1" s="25"/>
    <row r="920" ht="15.75" customHeight="1" s="25"/>
    <row r="921" ht="15.75" customHeight="1" s="25"/>
    <row r="922" ht="15.75" customHeight="1" s="25"/>
    <row r="923" ht="15.75" customHeight="1" s="25"/>
    <row r="924" ht="15.75" customHeight="1" s="25"/>
    <row r="925" ht="15.75" customHeight="1" s="25"/>
    <row r="926" ht="15.75" customHeight="1" s="25"/>
    <row r="927" ht="15.75" customHeight="1" s="25"/>
    <row r="928" ht="15.75" customHeight="1" s="25"/>
    <row r="929" ht="15.75" customHeight="1" s="25"/>
    <row r="930" ht="15.75" customHeight="1" s="25"/>
    <row r="931" ht="15.75" customHeight="1" s="25"/>
    <row r="932" ht="15.75" customHeight="1" s="25"/>
    <row r="933" ht="15.75" customHeight="1" s="25"/>
    <row r="934" ht="15.75" customHeight="1" s="25"/>
    <row r="935" ht="15.75" customHeight="1" s="25"/>
    <row r="936" ht="15.75" customHeight="1" s="25"/>
    <row r="937" ht="15.75" customHeight="1" s="25"/>
    <row r="938" ht="15.75" customHeight="1" s="25"/>
    <row r="939" ht="15.75" customHeight="1" s="25"/>
    <row r="940" ht="15.75" customHeight="1" s="25"/>
    <row r="941" ht="15.75" customHeight="1" s="25"/>
    <row r="942" ht="15.75" customHeight="1" s="25"/>
    <row r="943" ht="15.75" customHeight="1" s="25"/>
    <row r="944" ht="15.75" customHeight="1" s="25"/>
    <row r="945" ht="15.75" customHeight="1" s="25"/>
    <row r="946" ht="15.75" customHeight="1" s="25"/>
    <row r="947" ht="15.75" customHeight="1" s="25"/>
    <row r="948" ht="15.75" customHeight="1" s="25"/>
    <row r="949" ht="15.75" customHeight="1" s="25"/>
    <row r="950" ht="15.75" customHeight="1" s="25"/>
    <row r="951" ht="15.75" customHeight="1" s="25"/>
    <row r="952" ht="15.75" customHeight="1" s="25"/>
    <row r="953" ht="15.75" customHeight="1" s="25"/>
    <row r="954" ht="15.75" customHeight="1" s="25"/>
    <row r="955" ht="15.75" customHeight="1" s="25"/>
    <row r="956" ht="15.75" customHeight="1" s="25"/>
    <row r="957" ht="15.75" customHeight="1" s="25"/>
    <row r="958" ht="15.75" customHeight="1" s="25"/>
    <row r="959" ht="15.75" customHeight="1" s="25"/>
    <row r="960" ht="15.75" customHeight="1" s="25"/>
    <row r="961" ht="15.75" customHeight="1" s="25"/>
    <row r="962" ht="15.75" customHeight="1" s="25"/>
    <row r="963" ht="15.75" customHeight="1" s="25"/>
    <row r="964" ht="15.75" customHeight="1" s="25"/>
    <row r="965" ht="15.75" customHeight="1" s="25"/>
    <row r="966" ht="15.75" customHeight="1" s="25"/>
    <row r="967" ht="15.75" customHeight="1" s="25"/>
    <row r="968" ht="15.75" customHeight="1" s="25"/>
    <row r="969" ht="15.75" customHeight="1" s="25"/>
    <row r="970" ht="15.75" customHeight="1" s="25"/>
    <row r="971" ht="15.75" customHeight="1" s="25"/>
    <row r="972" ht="15.75" customHeight="1" s="25"/>
    <row r="973" ht="15.75" customHeight="1" s="25"/>
    <row r="974" ht="15.75" customHeight="1" s="25"/>
    <row r="975" ht="15.75" customHeight="1" s="25"/>
    <row r="976" ht="15.75" customHeight="1" s="25"/>
    <row r="977" ht="15.75" customHeight="1" s="25"/>
    <row r="978" ht="15.75" customHeight="1" s="25"/>
    <row r="979" ht="15.75" customHeight="1" s="25"/>
    <row r="980" ht="15.75" customHeight="1" s="25"/>
    <row r="981" ht="15.75" customHeight="1" s="25"/>
    <row r="982" ht="15.75" customHeight="1" s="25"/>
    <row r="983" ht="15.75" customHeight="1" s="25"/>
    <row r="984" ht="15.75" customHeight="1" s="25"/>
    <row r="985" ht="15.75" customHeight="1" s="25"/>
    <row r="986" ht="15.75" customHeight="1" s="25"/>
    <row r="987" ht="15.75" customHeight="1" s="25"/>
    <row r="988" ht="15.75" customHeight="1" s="25"/>
    <row r="989" ht="15.75" customHeight="1" s="25"/>
    <row r="990" ht="15.75" customHeight="1" s="25"/>
    <row r="991" ht="15.75" customHeight="1" s="25"/>
    <row r="992" ht="15.75" customHeight="1" s="25"/>
    <row r="993" ht="15.75" customHeight="1" s="25"/>
    <row r="994" ht="15.75" customHeight="1" s="25"/>
    <row r="995" ht="15.75" customHeight="1" s="25"/>
    <row r="996" ht="15.75" customHeight="1" s="25"/>
    <row r="997" ht="15.75" customHeight="1" s="25"/>
    <row r="998" ht="15.75" customHeight="1" s="25"/>
    <row r="999" ht="15.75" customHeight="1" s="25"/>
    <row r="1000" ht="15.75" customHeight="1" s="25"/>
  </sheetData>
  <mergeCells count="4">
    <mergeCell ref="A22:F22"/>
    <mergeCell ref="A1:F1"/>
    <mergeCell ref="A12:F12"/>
    <mergeCell ref="A23:F26"/>
  </mergeCells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4" topLeftCell="A5" activePane="bottomLeft" state="frozen"/>
      <selection activeCell="A1" sqref="A1"/>
    </sheetView>
  </sheetViews>
  <sheetFormatPr baseColWidth="8" defaultRowHeight="15"/>
  <cols>
    <col width="24" customWidth="1" style="25" min="1" max="1"/>
    <col width="19" customWidth="1" style="25" min="2" max="2"/>
    <col width="52" customWidth="1" style="25" min="3" max="3"/>
    <col width="74" customWidth="1" style="25" min="4" max="4"/>
    <col width="75" customWidth="1" style="25" min="5" max="5"/>
  </cols>
  <sheetData>
    <row r="1" ht="34" customHeight="1" s="25">
      <c r="A1" s="51" t="inlineStr">
        <is>
          <t>CITAJUSTA  |  ACTUALIZACIÓN SCRUM · 15-10-2026</t>
        </is>
      </c>
    </row>
    <row r="2" ht="34" customHeight="1" s="25">
      <c r="A2" s="55" t="inlineStr">
        <is>
          <t>Complemento fechado al Release Plan histórico de 04-10-2026. No se cambia retroactivamente el estado del Sprint 8 ni se presenta como cerrado sin ceremonia/fecha formal.</t>
        </is>
      </c>
    </row>
    <row r="3" ht="14" customHeight="1" s="25"/>
    <row r="4" ht="30" customHeight="1" s="25">
      <c r="A4" s="59" t="inlineStr">
        <is>
          <t>Release / elemento</t>
        </is>
      </c>
      <c r="B4" s="59" t="inlineStr">
        <is>
          <t>Sprint</t>
        </is>
      </c>
      <c r="C4" s="59" t="inlineStr">
        <is>
          <t>Estado al corte</t>
        </is>
      </c>
      <c r="D4" s="59" t="inlineStr">
        <is>
          <t>Evidencia / alcance</t>
        </is>
      </c>
      <c r="E4" s="59" t="inlineStr">
        <is>
          <t>Cierre pendiente</t>
        </is>
      </c>
    </row>
    <row r="5" ht="85" customHeight="1" s="25">
      <c r="A5" s="60" t="inlineStr">
        <is>
          <t>R0.7</t>
        </is>
      </c>
      <c r="B5" s="60" t="inlineStr">
        <is>
          <t>Sprint 7</t>
        </is>
      </c>
      <c r="C5" s="60" t="inlineStr">
        <is>
          <t>Documentado cerrado el 04-10</t>
        </is>
      </c>
      <c r="D5" s="60" t="inlineStr">
        <is>
          <t>Módulos Desktop institucionales integrados y consultados en demostración Web/Desktop</t>
        </is>
      </c>
      <c r="E5" s="60" t="inlineStr">
        <is>
          <t>Conservar actas y evidencias históricas; no reescribir cronología.</t>
        </is>
      </c>
    </row>
    <row r="6" ht="85" customHeight="1" s="25">
      <c r="A6" s="61" t="inlineStr">
        <is>
          <t>R0.8</t>
        </is>
      </c>
      <c r="B6" s="61" t="inlineStr">
        <is>
          <t>Sprint 8</t>
        </is>
      </c>
      <c r="C6" s="61" t="inlineStr">
        <is>
          <t>Integraciones implementadas; estado formal del Sprint POR CONFIRMAR</t>
        </is>
      </c>
      <c r="D6" s="61" t="inlineStr">
        <is>
          <t>Resend recibido en Gmail; Google OAuth/OIDC; copia Calendar validada; mapas OSM/Google URLs. WhatsApp EXCLUIDA formalmente del entregable.</t>
        </is>
      </c>
      <c r="E6" s="61" t="inlineStr">
        <is>
          <t>Verificar cierre Git de HU-039 a HU-042; probar HTML V2 con logo en Gmail; Sprint Planning/Review/Retro, fechas y criterios de salida no confirmados.</t>
        </is>
      </c>
    </row>
    <row r="7" ht="85" customHeight="1" s="25">
      <c r="A7" s="60" t="inlineStr">
        <is>
          <t>R1.0</t>
        </is>
      </c>
      <c r="B7" s="60" t="inlineStr">
        <is>
          <t>Sprint 9</t>
        </is>
      </c>
      <c r="C7" s="60" t="inlineStr">
        <is>
          <t>Cierre técnico y documental pendiente</t>
        </is>
      </c>
      <c r="D7" s="60" t="inlineStr">
        <is>
          <t>Pruebas de regresión API 611/611 PASS reportadas; Web y Desktop demostrados. Documentación Fase 2, evidencias Scrum, mockups y UML en revisión.</t>
        </is>
      </c>
      <c r="E7" s="60" t="inlineStr">
        <is>
          <t>E2E sobre base segura; conciliación migración experimental dev; Docker/OpenAPI y demás pendientes según planificación real; versión final de entrega.</t>
        </is>
      </c>
    </row>
    <row r="8" ht="85" customHeight="1" s="25">
      <c r="A8" s="61" t="inlineStr">
        <is>
          <t>Cambio de alcance</t>
        </is>
      </c>
      <c r="B8" s="61" t="inlineStr">
        <is>
          <t>HU-043</t>
        </is>
      </c>
      <c r="C8" s="61" t="inlineStr">
        <is>
          <t>Excluida del producto entregable 15-10</t>
        </is>
      </c>
      <c r="D8" s="61" t="inlineStr">
        <is>
          <t>Retiro documentado; PR mergeado a main 1f1b7c1. Preservadas integraciones anteriores.</t>
        </is>
      </c>
      <c r="E8" s="61" t="inlineStr">
        <is>
          <t>No computar HU-043 como Done; formalizar Issue/Kanban; Nager.Date solo propuesta no implementada.</t>
        </is>
      </c>
    </row>
    <row r="9" ht="85" customHeight="1" s="25">
      <c r="A9" s="60" t="inlineStr">
        <is>
          <t>Estimación</t>
        </is>
      </c>
      <c r="B9" s="60" t="inlineStr">
        <is>
          <t>Proyecto global</t>
        </is>
      </c>
      <c r="C9" s="60" t="inlineStr">
        <is>
          <t>70% ESTIMADO</t>
        </is>
      </c>
      <c r="D9" s="60" t="inlineStr">
        <is>
          <t>Avance técnico de aplicación 80% ESTIMADO.</t>
        </is>
      </c>
      <c r="E9" s="60" t="inlineStr">
        <is>
          <t>Estimaciones del equipo, no métricas derivadas del backlog; validar antes de oficializar.</t>
        </is>
      </c>
    </row>
  </sheetData>
  <mergeCells count="2">
    <mergeCell ref="A2:E2"/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25" min="1" max="1"/>
    <col width="36" customWidth="1" style="25" min="2" max="2"/>
    <col width="56" customWidth="1" style="25" min="3" max="3"/>
    <col width="52" customWidth="1" style="25" min="4" max="4"/>
  </cols>
  <sheetData>
    <row r="1" ht="30" customHeight="1" s="25">
      <c r="A1" s="77" t="inlineStr">
        <is>
          <t>Elemento</t>
        </is>
      </c>
      <c r="B1" s="77" t="inlineStr">
        <is>
          <t>Estado confirmado</t>
        </is>
      </c>
      <c r="C1" s="77" t="inlineStr">
        <is>
          <t>Evidencia</t>
        </is>
      </c>
      <c r="D1" s="77" t="inlineStr">
        <is>
          <t>Observación</t>
        </is>
      </c>
    </row>
    <row r="2" ht="42" customHeight="1" s="25">
      <c r="A2" s="78" t="inlineStr">
        <is>
          <t>HU-039 Resend</t>
        </is>
      </c>
      <c r="B2" s="78" t="inlineStr">
        <is>
          <t>CLOSED COMPLETED</t>
        </is>
      </c>
      <c r="C2" s="78" t="inlineStr">
        <is>
          <t>Issue #152 / PR #153 MERGED</t>
        </is>
      </c>
      <c r="D2" s="78" t="inlineStr">
        <is>
          <t>Prueba correo HTML en Gmail; V2 con logo CID aún no publicada</t>
        </is>
      </c>
    </row>
    <row r="3" ht="42" customHeight="1" s="25">
      <c r="A3" s="60" t="inlineStr">
        <is>
          <t>HU-040 Google OAuth</t>
        </is>
      </c>
      <c r="B3" s="60" t="inlineStr">
        <is>
          <t>CLOSED COMPLETED</t>
        </is>
      </c>
      <c r="C3" s="60" t="inlineStr">
        <is>
          <t>Issue #155 / PR #156 MERGED</t>
        </is>
      </c>
      <c r="D3" s="60" t="inlineStr">
        <is>
          <t>Método alternativo de autenticación</t>
        </is>
      </c>
    </row>
    <row r="4" ht="42" customHeight="1" s="25">
      <c r="A4" s="78" t="inlineStr">
        <is>
          <t>HU-041 Google Calendar</t>
        </is>
      </c>
      <c r="B4" s="78" t="inlineStr">
        <is>
          <t>CLOSED COMPLETED</t>
        </is>
      </c>
      <c r="C4" s="78" t="inlineStr">
        <is>
          <t>Issue #158 / PR #159 MERGED</t>
        </is>
      </c>
      <c r="D4" s="78" t="inlineStr">
        <is>
          <t>Copia puntual con consentimiento</t>
        </is>
      </c>
    </row>
    <row r="5" ht="42" customHeight="1" s="25">
      <c r="A5" s="60" t="inlineStr">
        <is>
          <t>HU-042 Ubicación</t>
        </is>
      </c>
      <c r="B5" s="60" t="inlineStr">
        <is>
          <t>CLOSED COMPLETED</t>
        </is>
      </c>
      <c r="C5" s="60" t="inlineStr">
        <is>
          <t>Issue #162 / PR #163 MERGED</t>
        </is>
      </c>
      <c r="D5" s="60" t="inlineStr">
        <is>
          <t>Iframe OSM + URLs Google Maps; no Google Maps Platform API</t>
        </is>
      </c>
    </row>
    <row r="6" ht="42" customHeight="1" s="25">
      <c r="A6" s="78" t="inlineStr">
        <is>
          <t>HU-043 WhatsApp</t>
        </is>
      </c>
      <c r="B6" s="78" t="inlineStr">
        <is>
          <t>FUERA DE ALCANCE</t>
        </is>
      </c>
      <c r="C6" s="78" t="inlineStr">
        <is>
          <t>Issue #165 CLOSED COMPLETED; PR #169 MERGED</t>
        </is>
      </c>
      <c r="D6" s="78" t="inlineStr">
        <is>
          <t>La PR documentó retirada, no implementación</t>
        </is>
      </c>
    </row>
    <row r="7" ht="42" customHeight="1" s="25">
      <c r="A7" s="60" t="inlineStr">
        <is>
          <t>Sprint 8</t>
        </is>
      </c>
      <c r="B7" s="60" t="inlineStr">
        <is>
          <t>CIERRE FORMAL NO VERIFICADO</t>
        </is>
      </c>
      <c r="C7" s="60" t="inlineStr">
        <is>
          <t>Planificación de integraciones</t>
        </is>
      </c>
      <c r="D7" s="60" t="inlineStr">
        <is>
          <t>No inventar fechas ni ceremonias</t>
        </is>
      </c>
    </row>
    <row r="8" ht="42" customHeight="1" s="25">
      <c r="A8" s="78" t="inlineStr">
        <is>
          <t>Sprint 9</t>
        </is>
      </c>
      <c r="B8" s="78" t="inlineStr">
        <is>
          <t>PENDIENTE</t>
        </is>
      </c>
      <c r="C8" s="78" t="inlineStr">
        <is>
          <t>Planificación de cierre</t>
        </is>
      </c>
      <c r="D8" s="78" t="inlineStr">
        <is>
          <t>Docker, OpenAPI, pruebas, ER, documentos y despliegue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2026-10-16T21:18:18Z</dcterms:created>
  <dcterms:modified xmlns:dcterms="http://purl.org/dc/terms/" xmlns:xsi="http://www.w3.org/2001/XMLSchema-instance" xsi:type="dcterms:W3CDTF">2026-10-16T21:18:18Z</dcterms:modified>
</cp:coreProperties>
</file>