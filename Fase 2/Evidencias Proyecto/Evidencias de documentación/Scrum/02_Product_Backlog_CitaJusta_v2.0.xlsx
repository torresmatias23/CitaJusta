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roduct Backlog" state="visible" r:id="rId5"/>
    <sheet sheetId="3" name="Épicas" state="visible" r:id="rId6"/>
    <sheet sheetId="4" name="Cambios de alcance" state="visible" r:id="rId7"/>
    <sheet sheetId="5" name="Trazabilidad" state="visible" r:id="rId8"/>
    <sheet sheetId="6" name="Notas de versión" state="visible" r:id="rId9"/>
  </sheets>
  <definedNames>
    <definedName name="_xlnm.Print_Titles" localSheetId="0">'Resumen'!$4:$4</definedName>
    <definedName name="_xlnm.Print_Titles" localSheetId="1">'Product Backlog'!$4:$4</definedName>
    <definedName name="_xlnm.Print_Titles" localSheetId="2">'Épicas'!$4:$4</definedName>
    <definedName name="_xlnm.Print_Titles" localSheetId="3">'Cambios de alcance'!$4:$4</definedName>
    <definedName name="_xlnm.Print_Titles" localSheetId="4">'Trazabilidad'!$4:$4</definedName>
    <definedName name="_xlnm.Print_Titles" localSheetId="5">'Notas de versión'!$4:$4</definedName>
  </definedNames>
  <calcPr calcId="171027" fullCalcOnLoad="1"/>
</workbook>
</file>

<file path=xl/sharedStrings.xml><?xml version="1.0" encoding="utf-8"?>
<sst xmlns="http://schemas.openxmlformats.org/spreadsheetml/2006/main" count="1429" uniqueCount="842">
  <si>
    <t>CITAJUSTA — PRODUCT BACKLOG v2.0 · RESUMEN</t>
  </si>
  <si>
    <t>Corte 17-10-2026 · HEAD 865a7d0 · Los valores se calculan con fórmulas sobre la hoja "Product Backlog" (columna E = estado, H = sprint de integración).</t>
  </si>
  <si>
    <t>Indicador</t>
  </si>
  <si>
    <t>Valor</t>
  </si>
  <si>
    <t>Fórmula</t>
  </si>
  <si>
    <t>Lectura</t>
  </si>
  <si>
    <t>HU registradas</t>
  </si>
  <si>
    <t>COUNTIF(A:A,"HU-*")</t>
  </si>
  <si>
    <t>HU-001 a HU-044 (HU-044 registrada a posteriori el 17-10-2026).</t>
  </si>
  <si>
    <t>HU excluidas del alcance</t>
  </si>
  <si>
    <t>COUNTIF(E:E,"Excluida*")</t>
  </si>
  <si>
    <t>HU-043 WhatsApp, retirada el 15-10-2026.</t>
  </si>
  <si>
    <t>HU vigentes</t>
  </si>
  <si>
    <t>HU registradas − excluidas</t>
  </si>
  <si>
    <t>Base del avance por historias.</t>
  </si>
  <si>
    <t>HU Done</t>
  </si>
  <si>
    <t>COUNTIFS(A:A,"HU-*",E:E,"Done")</t>
  </si>
  <si>
    <t>Integradas a main y verificadas.</t>
  </si>
  <si>
    <t>Avance por HU vigentes</t>
  </si>
  <si>
    <t>HU Done / HU vigentes</t>
  </si>
  <si>
    <t>El backlog funcional está completo; el cierre técnico (Sprint 9) se mide aparte.</t>
  </si>
  <si>
    <t>PBI de cierre técnico (Sprint 9)</t>
  </si>
  <si>
    <t>COUNTIF(A:A,"PBI-S9-*")</t>
  </si>
  <si>
    <t>Docker, OpenAPI, hardening, CI, pruebas, documentación.</t>
  </si>
  <si>
    <t>PBI Sprint 9 Done</t>
  </si>
  <si>
    <t>COUNTIFS(A:A,"PBI-S9-*",E:E,"Done")</t>
  </si>
  <si>
    <t>Ninguno cumple aún la DoD (Docker está preparado y verificado, pero no integrado).</t>
  </si>
  <si>
    <t>PBI Sprint 9 preparados sin integrar</t>
  </si>
  <si>
    <t>COUNTIFS(...,E:E,"Preparado*")</t>
  </si>
  <si>
    <t>PBI-S9-01 Docker/Compose: verificado el 17-10-2026 (anexo Propuesta_Docker), pendiente de integración.</t>
  </si>
  <si>
    <t>Avance total del backlog (HU vigentes + PBI Sprint 9)</t>
  </si>
  <si>
    <t>(HU Done + PBI Done) / (HU vigentes + PBI)</t>
  </si>
  <si>
    <t>Medición derivada del backlog; si la propuesta Docker se integra por PR sube a 44/53 (83,0 %).</t>
  </si>
  <si>
    <t>Story Points registrados (HU-001 a HU-020)</t>
  </si>
  <si>
    <t>SUM(F:F)</t>
  </si>
  <si>
    <t>Sólo HU-001 a HU-020 tienen estimación histórica.</t>
  </si>
  <si>
    <t>Story Points Done</t>
  </si>
  <si>
    <t>SUMIFS(F:F,E:E,"Done")</t>
  </si>
  <si>
    <t>HU-021 en adelante: "Sin estimación registrada".</t>
  </si>
  <si>
    <t>Sprint</t>
  </si>
  <si>
    <t>HU según planificación (v1.10)</t>
  </si>
  <si>
    <t>HU según fecha de merge</t>
  </si>
  <si>
    <t>Observación</t>
  </si>
  <si>
    <t>Sprint 3</t>
  </si>
  <si>
    <t/>
  </si>
  <si>
    <t>Sprint 4</t>
  </si>
  <si>
    <t>El Sprint 4 integró la base read-only (PR #15–#19); HU-003 y HU-012–015 se cerraron después.</t>
  </si>
  <si>
    <t>Sprint 5</t>
  </si>
  <si>
    <t>Sprint 6</t>
  </si>
  <si>
    <t>Concentra HU documentadas en Sprints 4, 5 y 7 (ver hoja Cambios de alcance y libro de Sprint Backlogs).</t>
  </si>
  <si>
    <t>Sprint 7</t>
  </si>
  <si>
    <t>Sprint 8</t>
  </si>
  <si>
    <t>Plan incluye HU-043 (excluida).</t>
  </si>
  <si>
    <t>Sprint 9</t>
  </si>
  <si>
    <t>HU-044 registrada a posteriori; además 10 PBI de cierre técnico.</t>
  </si>
  <si>
    <t>Interpretación: el 100 % por historias indica que todo el alcance funcional vigente quedó integrado. No equivale al avance del proyecto Capstone: falta el cierre técnico del Sprint 9 (integración de la propuesta Docker, OpenAPI, hardening, CI, pruebas formales) y la validación documental. Las estimaciones del equipo del 15-10-2026 (70 % general / 80 % técnico) no se calcularon desde el backlog; la medición derivada del backlog al 17-10-2026 es 81,1 %.</t>
  </si>
  <si>
    <t>CITAJUSTA — PRODUCT BACKLOG PRIORIZADO · VERSIÓN 2.0</t>
  </si>
  <si>
    <t>Corte 17-10-2026. HU-001 a HU-042 y HU-044 Done; HU-043 excluida; 10 PBI de cierre técnico del Sprint 9. Fechas de merge y PR verificados en el historial git local (HEAD 865a7d0). Se conserva la redacción y los criterios de la v1.10.</t>
  </si>
  <si>
    <t>ID</t>
  </si>
  <si>
    <t>Épica</t>
  </si>
  <si>
    <t>Historia de usuario / elemento</t>
  </si>
  <si>
    <t>Alias</t>
  </si>
  <si>
    <t>Estado</t>
  </si>
  <si>
    <t>Story Points</t>
  </si>
  <si>
    <t>Sprint planificado (v1.10)</t>
  </si>
  <si>
    <t>Sprint de integración (fecha de merge)</t>
  </si>
  <si>
    <t>¿Coincide plan e integración?</t>
  </si>
  <si>
    <t>Fecha de merge</t>
  </si>
  <si>
    <t>Prioridad</t>
  </si>
  <si>
    <t>RF</t>
  </si>
  <si>
    <t>Alcance</t>
  </si>
  <si>
    <t>Criterios de aceptación (resumen)</t>
  </si>
  <si>
    <t>Evidencia / rama (v1.10)</t>
  </si>
  <si>
    <t>Pull Request</t>
  </si>
  <si>
    <t>Issue GitHub</t>
  </si>
  <si>
    <t>Comentarios v1.10</t>
  </si>
  <si>
    <t>Observación v2.0</t>
  </si>
  <si>
    <t>HU-001</t>
  </si>
  <si>
    <t>EP-01 Cuenta y acceso</t>
  </si>
  <si>
    <t>Como usuario final, quiero crear una cuenta, para utilizar CitaJusta y administrar mis citas.</t>
  </si>
  <si>
    <t>Registro de usuario</t>
  </si>
  <si>
    <t>Done</t>
  </si>
  <si>
    <t>Sí</t>
  </si>
  <si>
    <t>2026-08-30</t>
  </si>
  <si>
    <t>Alta</t>
  </si>
  <si>
    <t>RF-001</t>
  </si>
  <si>
    <t>MVP</t>
  </si>
  <si>
    <t>El sistema valida campos obligatorios y formatos. • No permite registrar un correo ya utilizado. • La contraseña cumple la política definida y nunca se almacena en texto plano.</t>
  </si>
  <si>
    <t>feat/auth-foundation</t>
  </si>
  <si>
    <t>#13</t>
  </si>
  <si>
    <t>Pendiente de vincular</t>
  </si>
  <si>
    <t>Registro implementado y probado en Auth.</t>
  </si>
  <si>
    <t>HU-002</t>
  </si>
  <si>
    <t>Como usuario, quiero iniciar sesión de forma segura, para acceder únicamente a las funciones que me corresponden.</t>
  </si>
  <si>
    <t>Inicio de sesión</t>
  </si>
  <si>
    <t>Crítica</t>
  </si>
  <si>
    <t>RF-002</t>
  </si>
  <si>
    <t>Credenciales válidas permiten acceder. • Credenciales inválidas no revelan si el correo existe. • El backend valida autenticación y rol para recursos protegidos.</t>
  </si>
  <si>
    <t>feat/auth-foundation / feat/rbac-institution-context</t>
  </si>
  <si>
    <t>#13, #14</t>
  </si>
  <si>
    <t>Login, refresh rotativo y logout implementados y probados.</t>
  </si>
  <si>
    <t>HU-003</t>
  </si>
  <si>
    <t>EP-02 Citas</t>
  </si>
  <si>
    <t>Como usuario, quiero buscar citas por servicio, sede y fecha o preferencia, para encontrar una atención compatible con mis necesidades.</t>
  </si>
  <si>
    <t>Buscar citas</t>
  </si>
  <si>
    <t>No</t>
  </si>
  <si>
    <t>2026-09-09</t>
  </si>
  <si>
    <t>RF-011 / RF-012</t>
  </si>
  <si>
    <t>La búsqueda exige al menos un servicio. • Los resultados respetan filtros válidos de sede y fecha/preferencia. • No se muestran cupos bloqueados, ocupados o fuera de disponibilidad.</t>
  </si>
  <si>
    <t>feat/catalog-read-foundation / feat/availability-read-foundation / feat/web-api-integration · PR #43</t>
  </si>
  <si>
    <t>#16, #17, #18 (31-08); cierre funcional #43</t>
  </si>
  <si>
    <t>S5-T05 · PR #43</t>
  </si>
  <si>
    <t>Búsqueda funcional completada de punta a punta: institución/sede/servicio, consulta de disponibilidad y resultados reales en Web. Cierre funcional realizado en Sprint 5 sobre la base backend iniciada en Sprint 4; validación Web/API/PostgreSQL E2E 13/13 y revisión manual.</t>
  </si>
  <si>
    <t>Planificada en Sprint 4 (base backend #16–#18, 31-08); el cierre funcional ocurrió en Sprint 5 con la integración Web (#43).</t>
  </si>
  <si>
    <t>HU-004</t>
  </si>
  <si>
    <t>Como usuario, quiero reservar un cupo disponible, para asegurar una atención en el horario seleccionado.</t>
  </si>
  <si>
    <t>Reservar una cita</t>
  </si>
  <si>
    <t>2026-09-06</t>
  </si>
  <si>
    <t>RF-013</t>
  </si>
  <si>
    <t>El backend revalida el cupo dentro de una transacción Serializable. • Una reserva exitosa crea una sola cita activa con estado AGENDADA y origen WEB interno. • La actualización condicional AVAILABLE→RESERVED usa lockVersion. • UNIQUE(citas.cupo_id) evita doble asignación. • Concurrencia real verificada: un 201, un 409 y una sola cita.</t>
  </si>
  <si>
    <t>feat/appointments-booking-foundation · commit 7a6a80e · merge a main 9b3e5a7</t>
  </si>
  <si>
    <t>#35</t>
  </si>
  <si>
    <t>PR HU-004 fusionado</t>
  </si>
  <si>
    <t>Reserva transaccional implementada y validada. POST /api/v1/appointments; estado inicial AGENDADA; origen WEB interno; transacción Serializable; AVAILABLE→RESERVED con lockVersion; UNIQUE(citas.cupo_id) como segunda defensa; historial inicial. Validación final: 88/88 unitarios, E2E checkpoint 1/1 y E2E appointments 8/8.</t>
  </si>
  <si>
    <t>HU-005</t>
  </si>
  <si>
    <t>Como usuario, quiero visualizar mis citas y su estado, para saber cuándo debo asistir y qué acciones tengo disponibles.</t>
  </si>
  <si>
    <t>Consultar mis citas</t>
  </si>
  <si>
    <t>2026-09-07</t>
  </si>
  <si>
    <t>RF-014</t>
  </si>
  <si>
    <t>El usuario sólo ve sus propias citas. • Se muestran fecha, hora, servicio, sede, profesional y estado aplicable. • Las acciones disponibles dependen del estado y permisos.</t>
  </si>
  <si>
    <t>commit 89d15a8 · GET /api/v1/appointments/me</t>
  </si>
  <si>
    <t>Sin PR: commit directo a main 89d15a8</t>
  </si>
  <si>
    <t>HU-005 creada en GitHub Projects</t>
  </si>
  <si>
    <t>Consulta autenticada de citas propias implementada. Aislamiento por AuthenticatedPrincipal, DTO público controlado, orden startsAt ASC/id ASC. Validación al cierre de HU-005: 96/96 unitarios, appointments E2E 14/14 y checkpoint 1/1.</t>
  </si>
  <si>
    <t>Única HU integrada sin Pull Request (commit directo a main). La DoD v1.0 exige PR para toda integración.</t>
  </si>
  <si>
    <t>HU-006</t>
  </si>
  <si>
    <t>Como usuario, quiero cancelar una cita que no podré utilizar, para liberar el cupo y mantener mi agenda actualizada.</t>
  </si>
  <si>
    <t>Cancelar una cita</t>
  </si>
  <si>
    <t>RF-015</t>
  </si>
  <si>
    <t>Sólo el titular o un rol autorizado puede cancelar. • La cancelación cambia el estado de la cita y queda auditada. • Si el cupo es reutilizable, queda disponible para el proceso de reasignación.</t>
  </si>
  <si>
    <t>feat/appointments-cancellation · commit 9c62153 · PR #37</t>
  </si>
  <si>
    <t>#37</t>
  </si>
  <si>
    <t>#32</t>
  </si>
  <si>
    <t>Cancelación transaccional e idempotente implementada: AGENDADA → CANCELADA y AgendaSlot RESERVED → RELEASED, sin volver a AVAILABLE. Concurrencia validada 200/200 sin doble efecto. Validación actual: 114/114 unitarios, appointments E2E 22/22, checkpoint 1/1 y build aprobado.</t>
  </si>
  <si>
    <t>HU-007</t>
  </si>
  <si>
    <t>EP-03 Lista de espera</t>
  </si>
  <si>
    <t>Como usuario, quiero ingresar a una lista de espera cuando no haya disponibilidad adecuada, para tener la posibilidad de recibir un cupo que se libere.</t>
  </si>
  <si>
    <t>Ingresar a lista de espera</t>
  </si>
  <si>
    <t>2026-09-10</t>
  </si>
  <si>
    <t>RF-018 / RF-019</t>
  </si>
  <si>
    <t>Sólo se permite una espera activa equivalente cuando así lo defina la regla de negocio. • Se registran servicio, sede/preferencias y fecha de ingreso. • El usuario puede consultar el estado de la espera.</t>
  </si>
  <si>
    <t>feat/waitlist-entry</t>
  </si>
  <si>
    <t>#46</t>
  </si>
  <si>
    <t>HU-007 (tarjeta Kanban)</t>
  </si>
  <si>
    <t>Alta y consulta de lista de espera implementadas y validadas contra PostgreSQL real.</t>
  </si>
  <si>
    <t>HU-008</t>
  </si>
  <si>
    <t>Como usuario, quiero indicar y modificar mis días, horarios y sede preferidos, para recibir solamente ofertas que pueda utilizar.</t>
  </si>
  <si>
    <t>Gestionar preferencias de espera</t>
  </si>
  <si>
    <t>RF-019 / RF-021</t>
  </si>
  <si>
    <t>Las preferencias deben usar valores válidos. • Los cambios aplican a futuras evaluaciones de compatibilidad. • El usuario puede retirarse de una espera activa y el cambio queda persistido.</t>
  </si>
  <si>
    <t>feat/waitlist-preferences</t>
  </si>
  <si>
    <t>#58</t>
  </si>
  <si>
    <t>HU-008 (tarjeta Kanban)</t>
  </si>
  <si>
    <t>Preferencias y retiro implementados; E2E HU-007/HU-008 real 24/24 PASS.</t>
  </si>
  <si>
    <t>HU-009</t>
  </si>
  <si>
    <t>EP-07 Ofertas</t>
  </si>
  <si>
    <t>Como usuario en lista de espera, quiero recibir una oferta cuando se libere un cupo compatible, para decidir si deseo tomarlo.</t>
  </si>
  <si>
    <t>Recibir oferta de cupo liberado</t>
  </si>
  <si>
    <t>RF-022 a RF-027 / RF-034</t>
  </si>
  <si>
    <t>La oferta sólo se genera para un candidato compatible. • La oferta posee fecha/hora de expiración persistida. • El usuario es notificado dentro de CitaJusta.</t>
  </si>
  <si>
    <t>feat/reassignment-offers</t>
  </si>
  <si>
    <t>#59</t>
  </si>
  <si>
    <t>HU-009 (tarjeta Kanban)</t>
  </si>
  <si>
    <t>Generación de oferta, ranking/snapshot y TTL implementados en backend.</t>
  </si>
  <si>
    <t>HU-010</t>
  </si>
  <si>
    <t>Como usuario, quiero aceptar una oferta vigente, para obtener el cupo liberado de manera segura.</t>
  </si>
  <si>
    <t>Aceptar una oferta</t>
  </si>
  <si>
    <t>RF-027</t>
  </si>
  <si>
    <t>Sólo el destinatario puede aceptar la oferta. • La oferta debe estar vigente y el cupo disponible. • La aceptación se ejecuta transaccionalmente.</t>
  </si>
  <si>
    <t>feat/accept-reassignment-offer</t>
  </si>
  <si>
    <t>#60</t>
  </si>
  <si>
    <t>HU-010 (tarjeta Kanban)</t>
  </si>
  <si>
    <t>Aceptación transaccional e idempotente implementada con transferencia segura de la cita.</t>
  </si>
  <si>
    <t>HU-011</t>
  </si>
  <si>
    <t>Como usuario, quiero rechazar una oferta que no puedo utilizar, para que el sistema pueda continuar con otro candidato.</t>
  </si>
  <si>
    <t>Rechazar una oferta</t>
  </si>
  <si>
    <t>RF-028</t>
  </si>
  <si>
    <t>Sólo el destinatario puede rechazar. • La oferta cambia a estado rechazado. • El cupo puede continuar con el siguiente candidato válido.</t>
  </si>
  <si>
    <t>feat/reject-reassignment-offer</t>
  </si>
  <si>
    <t>#61</t>
  </si>
  <si>
    <t>HU-011 (tarjeta Kanban)</t>
  </si>
  <si>
    <t>Rechazo y continuidad/exhaustión del flujo implementados.</t>
  </si>
  <si>
    <t>HU-012</t>
  </si>
  <si>
    <t>EP-05 Administración</t>
  </si>
  <si>
    <t>Como administrador institucional, quiero administrar sedes y servicios, para configurar correctamente la oferta de atención de mi institución.</t>
  </si>
  <si>
    <t>Gestionar servicios y sedes</t>
  </si>
  <si>
    <t>2026-09-13</t>
  </si>
  <si>
    <t>RF-005 a RF-007</t>
  </si>
  <si>
    <t>Sólo roles autorizados pueden crear o modificar datos institucionales. • Una sede pertenece a una institución válida. • Un servicio puede activarse o desactivarse sin borrar su historial.</t>
  </si>
  <si>
    <t>feat/catalog-administration</t>
  </si>
  <si>
    <t>#68</t>
  </si>
  <si>
    <t>HU-012 (tarjeta Kanban)</t>
  </si>
  <si>
    <t>Administración de sedes/servicios implementada con permisos y activación/desactivación.</t>
  </si>
  <si>
    <t>Documentada en Sprint 4, pero se integró el 13-09, después del cierre del Sprint 4 (07-09). El burndown del Sprint 4 sólo cubre los PR #15–#19.</t>
  </si>
  <si>
    <t>HU-013</t>
  </si>
  <si>
    <t>Como administrador institucional, quiero registrar profesionales y asociarlos a servicios y sedes, para construir la agenda institucional.</t>
  </si>
  <si>
    <t>Gestionar profesionales</t>
  </si>
  <si>
    <t>2026-09-14</t>
  </si>
  <si>
    <t>RF-008</t>
  </si>
  <si>
    <t>El profesional se asocia a una institución y a servicios válidos. • No se crean asociaciones duplicadas equivalentes. • Los cambios relevantes quedan auditados.</t>
  </si>
  <si>
    <t>feat/professional-administration</t>
  </si>
  <si>
    <t>#71</t>
  </si>
  <si>
    <t>HU-013 (tarjeta Kanban)</t>
  </si>
  <si>
    <t>Administración de profesionales y asociaciones implementada.</t>
  </si>
  <si>
    <t>Documentada en Sprint 4; integrada el 14-09, dentro de la ventana del Sprint 6.</t>
  </si>
  <si>
    <t>HU-014</t>
  </si>
  <si>
    <t>EP-04 Agenda</t>
  </si>
  <si>
    <t>Como usuario autorizado, quiero configurar disponibilidad, bloqueos e indisponibilidades, para evitar que se ofrezcan horarios no atendibles.</t>
  </si>
  <si>
    <t>Configurar disponibilidad</t>
  </si>
  <si>
    <t>RF-009</t>
  </si>
  <si>
    <t>No se aceptan rangos inválidos o superpuestos cuando generen conflicto. • Los bloqueos impiden nuevas reservas en el periodo afectado. • La agenda refleja los cambios de disponibilidad.</t>
  </si>
  <si>
    <t>feat/availability-administration</t>
  </si>
  <si>
    <t>#74</t>
  </si>
  <si>
    <t>HU-014 (tarjeta Kanban)</t>
  </si>
  <si>
    <t>Disponibilidad, materialización de cupos y bloqueos implementados.</t>
  </si>
  <si>
    <t>HU-015</t>
  </si>
  <si>
    <t>Como funcionario, quiero consultar la agenda por fecha, sede, servicio, profesional y estado, para gestionar la operación diaria.</t>
  </si>
  <si>
    <t>Consultar agenda institucional</t>
  </si>
  <si>
    <t>RF-010</t>
  </si>
  <si>
    <t>La agenda puede filtrarse por los criterios definidos. • Cada cita muestra estado y datos operativos relevantes. • El usuario sólo consulta sedes/recursos dentro de su ámbito autorizado.</t>
  </si>
  <si>
    <t>feat/institutional-agenda</t>
  </si>
  <si>
    <t>#76</t>
  </si>
  <si>
    <t>HU-015 (tarjeta Kanban)</t>
  </si>
  <si>
    <t>Agenda institucional con filtros y trazabilidad de estados implementada.</t>
  </si>
  <si>
    <t>HU-016</t>
  </si>
  <si>
    <t>EP-06 Reasignación</t>
  </si>
  <si>
    <t>Como funcionario autorizado, quiero visualizar el cupo liberado, candidatos evaluados, oferta y estado del flujo, para supervisar la reasignación automática.</t>
  </si>
  <si>
    <t>Supervisar una reasignación</t>
  </si>
  <si>
    <t>RF-032 / RF-033</t>
  </si>
  <si>
    <t>El flujo muestra al menos cupo, candidatos, oferta y estado actual. • La vista distingue operación automática de intervención manual autorizada. • Cada paso crítico posee trazabilidad.</t>
  </si>
  <si>
    <t>feat/reassignment-supervision</t>
  </si>
  <si>
    <t>#65</t>
  </si>
  <si>
    <t>HU-016 (tarjeta Kanban)</t>
  </si>
  <si>
    <t>Consulta read-only de reasignación con trazabilidad y política implementada.</t>
  </si>
  <si>
    <t>HU-017</t>
  </si>
  <si>
    <t>EP-08 Operación</t>
  </si>
  <si>
    <t>Como funcionario o profesional autorizado, quiero registrar asistencia o inasistencia, para mantener el historial operativo y apoyar las reglas institucionales.</t>
  </si>
  <si>
    <t>Registrar asistencia e inasistencia</t>
  </si>
  <si>
    <t>2026-09-15</t>
  </si>
  <si>
    <t>Media</t>
  </si>
  <si>
    <t>RF-017</t>
  </si>
  <si>
    <t>Objetivo</t>
  </si>
  <si>
    <t>Sólo roles autorizados registran asistencia/inasistencia. • No se registra asistencia sobre una cita cancelada. • El cambio queda persistido y auditado.</t>
  </si>
  <si>
    <t>feat/appointment-attendance</t>
  </si>
  <si>
    <t>#79</t>
  </si>
  <si>
    <t>HU-017 (tarjeta Kanban)</t>
  </si>
  <si>
    <t>Registro de ATENDIDA/INASISTENCIA implementado con control de transiciones.</t>
  </si>
  <si>
    <t>Documentada en Sprint 5; integrada el 15-09 y no figura entre las 8 tareas del Sprint 5.</t>
  </si>
  <si>
    <t>HU-018</t>
  </si>
  <si>
    <t>Como administrador institucional, quiero configurar parámetros permitidos de priorización, para adaptar la reasignación a las políticas de la institución.</t>
  </si>
  <si>
    <t>Configurar reglas de reasignación</t>
  </si>
  <si>
    <t>Pendiente trazabilidad RF</t>
  </si>
  <si>
    <t>Sólo administradores autorizados pueden cambiar parámetros. • Los valores deben respetar límites definidos por el sistema. • Los cambios quedan versionados o auditados y no alteran retroactivamente decisiones cerradas.</t>
  </si>
  <si>
    <t>feat/reassignment-policy</t>
  </si>
  <si>
    <t>#81</t>
  </si>
  <si>
    <t>HU-018 (tarjeta Kanban)</t>
  </si>
  <si>
    <t>Políticas versionadas e inmutables de reasignación implementadas.</t>
  </si>
  <si>
    <t>Sin RF propio en v1.10; se relaciona con RF-025 (ordenar candidatos según reglas definidas).</t>
  </si>
  <si>
    <t>HU-019</t>
  </si>
  <si>
    <t>EP-09 Reportes</t>
  </si>
  <si>
    <t>Como administrador, quiero consultar indicadores de cancelaciones, ofertas y cupos recuperados, para evaluar el desempeño de la agenda.</t>
  </si>
  <si>
    <t>Consultar indicadores</t>
  </si>
  <si>
    <t>2026-09-16</t>
  </si>
  <si>
    <t>RF-037</t>
  </si>
  <si>
    <t>Los indicadores se calculan a partir de datos persistidos. • Los filtros respetan el ámbito institucional. • Los resultados distinguen cancelaciones, ofertas, aceptaciones, expiraciones y cupos recuperados cuando corresponda.</t>
  </si>
  <si>
    <t>feat/reports-indicators · PR #84</t>
  </si>
  <si>
    <t>#84</t>
  </si>
  <si>
    <t>HU-019 (tarjeta Kanban)</t>
  </si>
  <si>
    <t>Indicadores institucionales implementados y validados.</t>
  </si>
  <si>
    <t>Documentada en Sprint 7; integrada el 16-09 (ventana Sprint 6) como prerrequisito institucional.</t>
  </si>
  <si>
    <t>HU-020</t>
  </si>
  <si>
    <t>EP-10 Auditoría</t>
  </si>
  <si>
    <t>Como auditor autorizado, quiero consultar la bitácora de operaciones relevantes, para reconstruir qué ocurrió, cuándo y por quién.</t>
  </si>
  <si>
    <t>Consultar trazabilidad</t>
  </si>
  <si>
    <t>RF-036</t>
  </si>
  <si>
    <t>El auditor posee acceso de lectura sin capacidad de alterar eventos. • La bitácora permite identificar actor/sistema, fecha, acción y recurso afectado según corresponda. • Los logs no exponen secretos o credenciales.</t>
  </si>
  <si>
    <t>feat/audit-trail · PR #86</t>
  </si>
  <si>
    <t>#86</t>
  </si>
  <si>
    <t>HU-020 (tarjeta Kanban)</t>
  </si>
  <si>
    <t>Auditoría read-only e instrumentación de eventos relevantes implementadas y validadas.</t>
  </si>
  <si>
    <t>HU-021</t>
  </si>
  <si>
    <t>Como usuario de CitaJusta, quiero gestionar desde la Web mi participación en listas de espera y sus preferencias, para inscribirme, ajustar mis condiciones de atención y retirarme cuando corresponda.</t>
  </si>
  <si>
    <t>Gestionar lista de espera y preferencias desde la Web</t>
  </si>
  <si>
    <t>Sin estimación registrada</t>
  </si>
  <si>
    <t>2026-09-17</t>
  </si>
  <si>
    <t>HU-007 / HU-008 Web</t>
  </si>
  <si>
    <t>El usuario autenticado puede consultar e ingresar a listas válidas. • Puede configurar días, rangos y sedes preferidas. • Puede retirarse. • La UI usa respuestas reales y no replica ranking/elegibilidad.</t>
  </si>
  <si>
    <t>feat/web-waitlist · PR #89 · merge c291d17</t>
  </si>
  <si>
    <t>#89</t>
  </si>
  <si>
    <t>HU-021 (tarjeta Kanban)</t>
  </si>
  <si>
    <t>Validación real Web + API + PostgreSQL: alta ACTIVE, preferencias persistentes y retiro. Web 56/56; development/seed 11/11; Waitlist E2E 24/24.</t>
  </si>
  <si>
    <t>Documentada en Sprint 5; integrada el 17-09. La Revisión Daily (23-09) la cuenta entre las 10 tareas del Sprint 6.</t>
  </si>
  <si>
    <t>HU-022</t>
  </si>
  <si>
    <t>Como usuario de CitaJusta, quiero visualizar y responder desde la Web las ofertas de reasignación que reciba, para aceptar una nueva hora compatible o rechazarla de forma segura.</t>
  </si>
  <si>
    <t>Gestionar ofertas de reasignación desde la Web</t>
  </si>
  <si>
    <t>2026-09-20</t>
  </si>
  <si>
    <t>HU-009 / HU-010 / HU-011 Web</t>
  </si>
  <si>
    <t>La Web muestra ofertas reales y su expiresAt. • Permite aceptar/rechazar mediante los endpoints reales. • La aceptación transfiere la cita existente. • El rechazo no crea una cita. • El cliente no recalcula elegibilidad ni ranking.</t>
  </si>
  <si>
    <t>feat/web-reassignment-offers · PR #93 · merge 5701ab7</t>
  </si>
  <si>
    <t>#93</t>
  </si>
  <si>
    <t>HU-022 (tarjeta Kanban)</t>
  </si>
  <si>
    <t>Validación completa Web + API + PostgreSQL: ACCEPT transfirió cita AGENDADA; REJECT no creó cita; oferta vencida deshabilitada sin mutación desde el cliente.</t>
  </si>
  <si>
    <t>HU-023</t>
  </si>
  <si>
    <t>Como sistema CitaJusta, quiero expirar automáticamente las ofertas vencidas y continuar con el siguiente candidato elegible, para recuperar cupos liberados sin depender de intervención manual.</t>
  </si>
  <si>
    <t>Automatizar expiración y continuidad de reasignación</t>
  </si>
  <si>
    <t>2026-09-21</t>
  </si>
  <si>
    <t>RF-029 / RF-030 / RF-036</t>
  </si>
  <si>
    <t>Una oferta PENDING vencida pasa de forma persistente a EXPIRED. • La continuidad genera como máximo una siguiente oferta. • Sin candidatos el proceso queda EXHAUSTED. • Cupo/contexto inutilizable cierra CANCELLED. • La operación es idempotente, transaccional y segura ante concurrencia.</t>
  </si>
  <si>
    <t>feat/automatic-offer-expiration · PR #96 · merge 109b1c9</t>
  </si>
  <si>
    <t>#96</t>
  </si>
  <si>
    <t>HU-023 (tarjeta Kanban)</t>
  </si>
  <si>
    <t>Runner interno sin dependencias nuevas. Auditoría OFFER_EXPIRED. Validación: API 368/368; E2E expiración 10/10; reasignaciones 20/20; audit 11/11; policy 13/13; reports 15/15; checkpoint 1/1.</t>
  </si>
  <si>
    <t>HU-024</t>
  </si>
  <si>
    <t>EP-11 Notificaciones</t>
  </si>
  <si>
    <t>Como usuario de CitaJusta, quiero recibir y consultar notificaciones internas sobre eventos importantes de mis citas, lista de espera y ofertas, para mantenerme informado sin depender de servicios externos.</t>
  </si>
  <si>
    <t>Implementar notificaciones internas</t>
  </si>
  <si>
    <t>RF-034</t>
  </si>
  <si>
    <t>Las notificaciones se persisten dentro de las transacciones reales del dominio. • Sólo el destinatario autenticado puede consultarlas o marcarlas como leídas. • Reintentos idempotentes no generan duplicados. • La Web muestra contador, listado y lectura persistente.</t>
  </si>
  <si>
    <t>feat/internal-notifications · PR #99 · merge b1bff30</t>
  </si>
  <si>
    <t>#99</t>
  </si>
  <si>
    <t>HU-024 (tarjeta Kanban)</t>
  </si>
  <si>
    <t>Ocho eventos integrados. API /notifications/me + unread-count + read. Web /notificaciones. Validación: nuevos API 6/6; E2E notifications 8/8; API dirigida 157/157; regresión crítica 87/87; Web 83/83; prueba manual de lectura y logout/login PASS.</t>
  </si>
  <si>
    <t>HU-025</t>
  </si>
  <si>
    <t>Como sistema CitaJusta, quiero iniciar automáticamente la reasignación cuando una cancelación libera un cupo reutilizable, para ofrecerlo a candidatos compatibles sin intervención administrativa.</t>
  </si>
  <si>
    <t>Iniciar reasignación automática tras cancelación</t>
  </si>
  <si>
    <t>2026-09-22</t>
  </si>
  <si>
    <t>Refuerzo RF-022 a RF-030</t>
  </si>
  <si>
    <t>Una cancelación que libera un cupo reutilizable inicia la reasignación en la misma transacción. • No crea procesos/ofertas duplicados. • Sin candidatos elegibles queda EXHAUSTED. • Cupos no reutilizables permiten completar la cancelación sin procesos parciales.</t>
  </si>
  <si>
    <t>feat/automatic-reassignment-start · PR #105 · merge ea33e9f</t>
  </si>
  <si>
    <t>#105</t>
  </si>
  <si>
    <t>#103</t>
  </si>
  <si>
    <t>Validación: API 390/390; E2E automatic-start 8/8; build y regresión relacionada PASS. Inicio automático auditado como SYSTEM y cancelación como USER.</t>
  </si>
  <si>
    <t>HU-026</t>
  </si>
  <si>
    <t>Como usuario de CitaJusta, quiero elegir una fecha específica o una búsqueda flexible, para encontrar disponibilidad de acuerdo con el día en que necesito atenderme.</t>
  </si>
  <si>
    <t>Buscar disponibilidad por fecha específica</t>
  </si>
  <si>
    <t>Permite Fecha específica mediante calendario o modo flexible 7/14/30 días. • Rechaza fechas pasadas. • Hoy inicia desde la hora actual. • Respeta calendario local y cambios DST. • Mantiene el mismo contrato from/to del backend.</t>
  </si>
  <si>
    <t>feat/availability-date-search · PR #107 · merge ec427a4</t>
  </si>
  <si>
    <t>#107</t>
  </si>
  <si>
    <t>HU-026 (tarjeta Kanban)</t>
  </si>
  <si>
    <t>Validación: fechas 10/10; UI 16/16; Web 95/95; typecheck/build PASS. Prueba manual: 4 cupos reales coincidentes entre búsqueda flexible y fecha específica.</t>
  </si>
  <si>
    <t>HU-027</t>
  </si>
  <si>
    <t>EP-12 Desktop institucional</t>
  </si>
  <si>
    <t>Inicializar la aplicación institucional de escritorio con Tauri + React + TypeScript para disponer de una base nativa que consuma la misma API REST de CitaJusta.</t>
  </si>
  <si>
    <t>Inicializar aplicación Desktop institucional con Tauri</t>
  </si>
  <si>
    <t>Fundación Desktop / interfaz institucional</t>
  </si>
  <si>
    <t>Existe apps/desktop dentro del monorepo. • Tauri 2 + React/Vite/TypeScript compila y abre correctamente. • La shell institucional queda preparada sin duplicar reglas de negocio en Rust/Tauri.</t>
  </si>
  <si>
    <t>feat/desktop-tauri-foundation · commit 01ff1b1 · PR #112 · merge 6adab82</t>
  </si>
  <si>
    <t>#112</t>
  </si>
  <si>
    <t>HU-027 (tarjeta Kanban)</t>
  </si>
  <si>
    <t>Fundación Desktop creada y validada con build frontend, cargo check y ejecución nativa Tauri.</t>
  </si>
  <si>
    <t>HU-028</t>
  </si>
  <si>
    <t>Como usuario institucional, quiero iniciar sesión de forma segura en CitaJusta Desktop, para acceder a la API con mi contexto autorizado sin persistir tokens de forma insegura.</t>
  </si>
  <si>
    <t>Autenticación Desktop y client-core compartido</t>
  </si>
  <si>
    <t>Auth Desktop / cliente compartido</t>
  </si>
  <si>
    <t>Login real contra API. • Perfil/contexto provienen del backend. • Tokens permanecen sólo en memoria. • Web y Desktop comparten HTTP/sesión mediante @citajusta/client-core. • Logout elimina la sesión local.</t>
  </si>
  <si>
    <t>feat/desktop-auth-api · commit 46fb85f · PR #113 · merge ae151b3</t>
  </si>
  <si>
    <t>#113</t>
  </si>
  <si>
    <t>HU-028 (tarjeta Kanban)</t>
  </si>
  <si>
    <t>Validación: Web 95/95; Desktop 7/7; client-core 2/2; builds y cargo check PASS; login/logout manual en Tauri PASS.</t>
  </si>
  <si>
    <t>HU-029</t>
  </si>
  <si>
    <t>Como usuario institucional autorizado, quiero gestionar las sedes y servicios de mi institución desde CitaJusta Desktop, para mantener actualizado el catálogo institucional utilizado por agenda, profesionales, disponibilidad y procesos de atención.</t>
  </si>
  <si>
    <t>Gestionar sedes y servicios desde Desktop</t>
  </si>
  <si>
    <t>2026-09-23</t>
  </si>
  <si>
    <t>HU-012 Desktop / RBAC administrativo</t>
  </si>
  <si>
    <t>Lecturas administrativas respetan tenant y scope. • Crear/editar/activar/inactivar sedes y servicios usa permisos explícitos. • Servicios administran branchIds y categorías reales. • GET públicos existentes conservan su contrato.</t>
  </si>
  <si>
    <t>feat/desktop-branch-service-management · commit f58c742 · merge e1cdb2e</t>
  </si>
  <si>
    <t>#118</t>
  </si>
  <si>
    <t>HU-029 (tarjeta Kanban)</t>
  </si>
  <si>
    <t>Validación: API 394/394; backend enfocado 34/34; E2E catálogo 15/15; Web 95/95; Desktop 16/16; client-core 4/4; Prisma/build/cargo/diff PASS y prueba manual Tauri/PostgreSQL completa.</t>
  </si>
  <si>
    <t>v1.10 citaba sólo commits; el merge e1cdb2e corresponde al PR #118.</t>
  </si>
  <si>
    <t>HU-030</t>
  </si>
  <si>
    <t>Como administrador institucional autorizado, quiero gestionar profesionales desde CitaJusta Desktop, para mantener perfiles y asociaciones de atención desde la aplicación institucional.</t>
  </si>
  <si>
    <t>Gestionar profesionales desde Desktop</t>
  </si>
  <si>
    <t>HU-013 Desktop / RBAC administrativo</t>
  </si>
  <si>
    <t>La lista administrativa respeta institución y permisos. • El alta parte de una cuenta ACTIVE existente obtenida por búsqueda exacta. • La edición conserva userId y permite asociaciones/estado según la API. • Desktop no crea cuentas, credenciales ni roles.</t>
  </si>
  <si>
    <t>commit 7fac74a · feat: add desktop professional management</t>
  </si>
  <si>
    <t>#123</t>
  </si>
  <si>
    <t>HU-030 (tarjeta Kanban)</t>
  </si>
  <si>
    <t>Desktop Profesionales reutiliza HU-013 y catálogos reales; lectura/escritura separadas por permisos y validación institucional.</t>
  </si>
  <si>
    <t>v1.10 citaba sólo el commit 7fac74a; se agrega el PR #123.</t>
  </si>
  <si>
    <t>HU-031</t>
  </si>
  <si>
    <t>Como funcionario institucional autorizado, quiero consultar la agenda diaria desde CitaJusta Desktop, para gestionar la operación con filtros y contexto real.</t>
  </si>
  <si>
    <t>Consultar agenda institucional desde Desktop</t>
  </si>
  <si>
    <t>2026-09-24</t>
  </si>
  <si>
    <t>HU-015 Desktop / agenda.read</t>
  </si>
  <si>
    <t>Consulta read-only de GET /api/v1/agenda. • Fecha obligatoria y filtros opcionales de sede, servicio, profesional y estado. • La sede contextual queda fija. • Las horas usan la zona institucional y no se inventan datos ni mutaciones.</t>
  </si>
  <si>
    <t>commit 5c60ac9 · feat: add desktop institutional agenda</t>
  </si>
  <si>
    <t>#126</t>
  </si>
  <si>
    <t>HU-031 (tarjeta Kanban)</t>
  </si>
  <si>
    <t>Agenda Desktop reutiliza la API HU-015, catálogos autenticados y protección frente a respuestas obsoletas.</t>
  </si>
  <si>
    <t>v1.10 citaba sólo el commit 5c60ac9; se agrega el PR #126.</t>
  </si>
  <si>
    <t>HU-032</t>
  </si>
  <si>
    <t>Como usuario institucional autorizado, quiero consultar y gestionar disponibilidad y bloqueos desde CitaJusta Desktop, para mantener horarios atendibles sin duplicar reglas del backend.</t>
  </si>
  <si>
    <t>Gestionar disponibilidad y bloqueos desde Desktop</t>
  </si>
  <si>
    <t>2026-09-26</t>
  </si>
  <si>
    <t>HU-014 Desktop / availability.*</t>
  </si>
  <si>
    <t>Permisos independientes para leer, crear, actualizar y bloquear. • Usa la zona horaria institucional. • La sede contextual queda fija. • No edita/elimina bloqueos ni inventa AttentionPoint. • Escrituras reales no se reintentan automáticamente.</t>
  </si>
  <si>
    <t>commit 7644892 · feat: add desktop availability management</t>
  </si>
  <si>
    <t>#129</t>
  </si>
  <si>
    <t>HU-032 (tarjeta Kanban)</t>
  </si>
  <si>
    <t>Desktop reutiliza HU-014 y agrega lecturas administrativas controladas para disponibilidad/bloqueos con aislamiento institucional.</t>
  </si>
  <si>
    <t>v1.10 citaba sólo el commit 7644892; se agrega el PR #129.</t>
  </si>
  <si>
    <t>HU-033</t>
  </si>
  <si>
    <t>Como funcionario o profesional autorizado, quiero registrar asistencia o inasistencia desde CitaJusta Desktop, para mantener actualizado el resultado operativo de las citas.</t>
  </si>
  <si>
    <t>Registrar asistencia e inasistencia desde Desktop</t>
  </si>
  <si>
    <t>2026-09-28</t>
  </si>
  <si>
    <t>HU-017 Desktop / appointments.attendance</t>
  </si>
  <si>
    <t>La consulta requiere agenda.read y las acciones requieren appointments.attendance. • Sólo citas AGENDADA ofrecen ATENDIDA/INASISTENCIA. • El body contiene únicamente el nuevo estado. • Estados finales o contradictorios no se reabren ni se fuerzan desde la UI.</t>
  </si>
  <si>
    <t>commit 511a3dd · feat: add desktop attendance management</t>
  </si>
  <si>
    <t>#133</t>
  </si>
  <si>
    <t>HU-033 (tarjeta Kanban)</t>
  </si>
  <si>
    <t>Asistencia Desktop reutiliza agenda HU-031 y endpoint HU-017; conserva contexto, filtros y feedback controlado.</t>
  </si>
  <si>
    <t>v1.10 citaba sólo el commit 511a3dd; se agrega el PR #133.</t>
  </si>
  <si>
    <t>HU-034</t>
  </si>
  <si>
    <t>Como usuario institucional, quiero una interfaz Desktop visualmente consistente y accesible, para operar los módulos reales con navegación y estados claros.</t>
  </si>
  <si>
    <t>Modernizar sistema visual institucional Desktop</t>
  </si>
  <si>
    <t>UX institucional Desktop / transversal</t>
  </si>
  <si>
    <t>Tokens y superficies compartidas. • Navegación agrupa Catálogo, Operación y Análisis. • Inicio utiliza accesos reales y no estadísticas simuladas. • Estados, formularios, teclado y ventana reducida conservan el comportamiento funcional existente.</t>
  </si>
  <si>
    <t>feat/desktop-visual-redesign · commit eef2153 · PR #135 · merge 056ba2b</t>
  </si>
  <si>
    <t>#135</t>
  </si>
  <si>
    <t>HU-034 (tarjeta Kanban)</t>
  </si>
  <si>
    <t>Rediseño visual transversal sin cambiar reglas de negocio, permisos ni contratos de API.</t>
  </si>
  <si>
    <t>HU-035</t>
  </si>
  <si>
    <t>Como usuario Web que recibe ofertas de reasignación, quiero una experiencia más clara y moderna, para comprender su estado y responder con menor fricción.</t>
  </si>
  <si>
    <t>Modernizar UX de ofertas de reasignación Web</t>
  </si>
  <si>
    <t>2026-09-30</t>
  </si>
  <si>
    <t>HU-022 Web / UX ofertas</t>
  </si>
  <si>
    <t>La UI conserva datos y estados reales del backend. • No recalcula ranking ni elegibilidad. • La vigencia usa expiresAt/estado entregado por la API. • Aceptar/rechazar continúa usando los endpoints existentes sin alterar la semántica transaccional.</t>
  </si>
  <si>
    <t>feat/web-offers-ux · commit eb3e35a · PR #139 · merge 8d276ac</t>
  </si>
  <si>
    <t>#139</t>
  </si>
  <si>
    <t>HU-035 (tarjeta Kanban)</t>
  </si>
  <si>
    <t>Modernización UX sobre el flujo Web existente; no agrega lógica paralela al motor de reasignación.</t>
  </si>
  <si>
    <t>HU-036</t>
  </si>
  <si>
    <t>Como funcionario autorizado, quiero consultar desde Desktop el detalle de un proceso de reasignación, para supervisar candidatos, ofertas, política y trazabilidad sin alterar el proceso.</t>
  </si>
  <si>
    <t>Supervisar reasignaciones desde Desktop</t>
  </si>
  <si>
    <t>HU-016 Desktop / reassignments.read</t>
  </si>
  <si>
    <t>Consulta por UUID conocido con reassignments.read y contexto institucional. • Presenta resumen, política, evaluación, candidatos, ofertas y trazabilidad controlada. • Conserva orden/flags del backend. • No genera, acepta, rechaza, expira ni recalcula ofertas.</t>
  </si>
  <si>
    <t>feat/desktop-reassignment-supervision · commit 94770f9 · PR #141 · merge d5a5fe5</t>
  </si>
  <si>
    <t>#141</t>
  </si>
  <si>
    <t>HU-036 (tarjeta Kanban)</t>
  </si>
  <si>
    <t>Supervisión Desktop read-only sobre HU-016, sin listado inventado ni inferencias de vigencia.</t>
  </si>
  <si>
    <t>HU-037</t>
  </si>
  <si>
    <t>Como usuario institucional autorizado, quiero consultar indicadores y reportes desde CitaJusta Desktop, para analizar citas, recuperación de cupos y ofertas dentro de mi ámbito.</t>
  </si>
  <si>
    <t>Consultar reportes institucionales desde Desktop</t>
  </si>
  <si>
    <t>HU-019 Desktop / RF-037</t>
  </si>
  <si>
    <t>Requiere reports.read y contexto institucional. • Desde/Hasta son fechas civiles inclusivas de 1 a 366 días. • Sede, servicio y profesional son filtros opcionales. • Muestra los diez valores entregados por la API, incluidos ceros, sin inventar series, tendencias ni totales.</t>
  </si>
  <si>
    <t>feat/desktop-reports · commit 8d3bb26 · PR #143 · merge cb445ca</t>
  </si>
  <si>
    <t>#143</t>
  </si>
  <si>
    <t>HU-037 (tarjeta Kanban)</t>
  </si>
  <si>
    <t>Reportes Desktop consume GET /api/v1/reports/indicators; catálogos auxiliares no bloquean una consulta por período.</t>
  </si>
  <si>
    <t>HU-038</t>
  </si>
  <si>
    <t>Como auditor autorizado, quiero consultar desde CitaJusta Desktop la bitácora de operaciones relevantes de mi ámbito institucional, para reconstruir qué ocurrió, cuándo, por quién o por el sistema y sobre qué recurso, sin alterar los eventos registrados.</t>
  </si>
  <si>
    <t>Consultar auditoría institucional desde Desktop</t>
  </si>
  <si>
    <t>2026-10-04</t>
  </si>
  <si>
    <t>HU-020 Desktop / RF-036</t>
  </si>
  <si>
    <t>Requiere audit.read y contexto institucional. • Filtros opcionales por fechas civiles, sede, actor, acción y recurso. • Vista exclusivamente read-only. • Paginación por cursor opaco con Cargar más, deduplicación y descarte de respuestas obsoletas. • No expone payloads, secretos ni datos inventados.</t>
  </si>
  <si>
    <t>feat/desktop-audit · commit bbd6a14 · PR #147 · merge 5cc91d5</t>
  </si>
  <si>
    <t>#147</t>
  </si>
  <si>
    <t>HU-038 (tarjeta Kanban)</t>
  </si>
  <si>
    <t>Auditoría Desktop validada manualmente con filtros, trazabilidad y paginación; backend HU-020 no fue modificado.</t>
  </si>
  <si>
    <t>HU-039</t>
  </si>
  <si>
    <t>EP-13 Integraciones externas</t>
  </si>
  <si>
    <t>Como usuario de CitaJusta, quiero recibir correos transaccionales sobre eventos relevantes de mis citas y reasignaciones, para mantenerme informado también fuera de la aplicación.</t>
  </si>
  <si>
    <t>Enviar correo transaccional con Resend</t>
  </si>
  <si>
    <t>2026-10-05</t>
  </si>
  <si>
    <t>RF-039</t>
  </si>
  <si>
    <t>El backend integra Resend mediante una frontera de proveedor controlada. • Los correos cubren eventos transaccionales priorizados como confirmaciones, cancelaciones y reasignaciones/ofertas. • No se exponen secretos. • Un fallo de entrega no altera el estado de negocio ya persistido.</t>
  </si>
  <si>
    <t>Issue #152 CLOSED COMPLETED · PR #153 MERGED · Resend</t>
  </si>
  <si>
    <t>#153; mejora plantilla V2 con logo CID #173 (17-10-2026)</t>
  </si>
  <si>
    <t>#152</t>
  </si>
  <si>
    <t>Primera integración externa priorizada. Debe reutilizar eventos/notificaciones existentes sin convertir al proveedor en fuente de verdad.</t>
  </si>
  <si>
    <t>La mejora visual V2 (logo CID) quedó fusionada el 17-10-2026 (PR #173); su validación visual en Gmail sigue pendiente (PBI-S9-07).</t>
  </si>
  <si>
    <t>HU-040</t>
  </si>
  <si>
    <t>Como usuario, quiero iniciar sesión con mi cuenta Google, para acceder a CitaJusta mediante un método adicional de autenticación.</t>
  </si>
  <si>
    <t>Integrar Google OAuth / OpenID Connect</t>
  </si>
  <si>
    <t>2026-10-06</t>
  </si>
  <si>
    <t>RF-040</t>
  </si>
  <si>
    <t>Google se incorpora como método adicional y no elimina el login actual. • La identidad OIDC se valida del lado servidor y se vincula de forma controlada a User. • Google no define roles/permisos institucionales. • Tokens y secretos del proveedor no se exponen al cliente ni a logs.</t>
  </si>
  <si>
    <t>Issue #155 CLOSED COMPLETED · PR #156 MERGED · Google OAuth</t>
  </si>
  <si>
    <t>#156</t>
  </si>
  <si>
    <t>#155</t>
  </si>
  <si>
    <t>Debe preservar Auth, RBAC y AuthorizationContext existentes y definir una política segura de vinculación de cuentas.</t>
  </si>
  <si>
    <t>Alcances §23 clasificaba la identidad externa como funcionalidad futura; ver hoja Cambios de alcance.</t>
  </si>
  <si>
    <t>HU-041</t>
  </si>
  <si>
    <t>Como usuario con una cita confirmada, quiero agregarla a Google Calendar, para verla junto a mis compromisos personales.</t>
  </si>
  <si>
    <t>Agregar cita a Google Calendar</t>
  </si>
  <si>
    <t>RF-041</t>
  </si>
  <si>
    <t>La acción requiere autorización explícita del usuario y sólo opera sobre una cita propia/permitida. • CitaJusta/PostgreSQL sigue siendo la fuente de verdad. • Calendar recibe una representación del evento y no modifica estados de la cita. • Denegación o fallo del proveedor se manejan de forma controlada.</t>
  </si>
  <si>
    <t>Issue #158 CLOSED COMPLETED · PR #159 MERGED · Google Calendar</t>
  </si>
  <si>
    <t>#159</t>
  </si>
  <si>
    <t>#158</t>
  </si>
  <si>
    <t>Se implementará después de resolver OAuth/OIDC; no se planifica sincronización bidireccional como requisito base.</t>
  </si>
  <si>
    <t>Alcances §23 clasificaba los calendarios externos como funcionalidad futura; ver hoja Cambios de alcance.</t>
  </si>
  <si>
    <t>HU-042</t>
  </si>
  <si>
    <t>Como usuario, quiero visualizar la ubicación de la sede y acceder a una ruta en Google Maps, para facilitar mi llegada a la atención.</t>
  </si>
  <si>
    <t>Ubicación de sedes con OpenStreetMap y rutas Google Maps</t>
  </si>
  <si>
    <t>2026-10-08</t>
  </si>
  <si>
    <t>RF-042</t>
  </si>
  <si>
    <t>La integración usa únicamente dirección/coordenadas reales de la sede. • No inventa geolocalización si faltan datos. • La UI ofrece ubicación/ruta sin alterar información institucional. • Claves/configuración del proveedor se gestionan por entorno y con restricciones apropiadas.</t>
  </si>
  <si>
    <t>Issue #162 CLOSED COMPLETED · PR #163 MERGED · OpenStreetMap / Google Maps URLs</t>
  </si>
  <si>
    <t>#163</t>
  </si>
  <si>
    <t>#162</t>
  </si>
  <si>
    <t>Branch ya dispone de dirección y coordenadas; antes de integrar Maps se verificará exposición/control de esos datos en los DTO existentes.</t>
  </si>
  <si>
    <t>Corrige el anexo 15-10 que la daba como "implementación local": el PR #163 se fusionó el 08-10-2026.</t>
  </si>
  <si>
    <t>HU-043</t>
  </si>
  <si>
    <t>Como antecedente histórico, se propuso recibir avisos mediante WhatsApp con consentimiento; requisito retirado del entregable el 15-10-2026 por restricciones empresariales de Meta.</t>
  </si>
  <si>
    <t>WhatsApp — excluida del alcance</t>
  </si>
  <si>
    <t>Excluida (15-10-2026)</t>
  </si>
  <si>
    <t>— (excluida)</t>
  </si>
  <si>
    <t>N/A</t>
  </si>
  <si>
    <t>2026-10-15 (retiro)</t>
  </si>
  <si>
    <t>RF-043</t>
  </si>
  <si>
    <t>Excluida</t>
  </si>
  <si>
    <t>HU-043/RF-043 retirada; no implementada ni requerida en el alcance vigente. Conservar historia por trazabilidad; no se considera Done.</t>
  </si>
  <si>
    <t>HU-043 excluida 15-10 · Issue #165 CLOSED COMPLETED (motivo administrativo a revisar) · PR #169 MERGED = retiro documental</t>
  </si>
  <si>
    <t>#169 (sólo retiro documental, no implementación)</t>
  </si>
  <si>
    <t>#165 (cerrada como COMPLETED; corresponde "not planned")</t>
  </si>
  <si>
    <t>Integración tentativa: no es dependencia fundamental del proyecto y sólo se implementará tras evaluar proveedor/API, consentimiento, plantillas y costos.</t>
  </si>
  <si>
    <t>Retirada del alcance el 15-10-2026 por restricciones empresariales de Meta. No se computa como Done ni como pendiente.</t>
  </si>
  <si>
    <t>HU-044</t>
  </si>
  <si>
    <t>Como equipo de CitaJusta, quiero consultar los feriados oficiales de Chile desde la API pública Nager.Date mediante un adaptador de sólo lectura, para preparar la futura aplicación de feriados a la disponibilidad institucional.</t>
  </si>
  <si>
    <t>Consultar feriados de Chile mediante Nager.Date</t>
  </si>
  <si>
    <t>— (no planificada)</t>
  </si>
  <si>
    <t>No (sin planificación previa)</t>
  </si>
  <si>
    <t>2026-10-17</t>
  </si>
  <si>
    <t>Sin RF (relacionada con RF-009 disponibilidad e indisponibilidades)</t>
  </si>
  <si>
    <t>Consulta GET https://nagerholidays.com/api/v4/Holidays/CL/{año} sin credenciales. • Valida año 1900–2100, país CL, fechas reales y campos obligatorios; una fila inválida rechaza la consulta. • Timeout 5 s, respuesta máx. 256 KiB, sin redirecciones; errores controlados 400/502/503 sin exponer el cuerpo externo. • No agrega endpoints, permisos ni importación persistente; no modifica feriados, cupos ni reservas.</t>
  </si>
  <si>
    <t>feat/nager-date-holidays · commit 14c7e8f · PR #174 · merge 865a7d0</t>
  </si>
  <si>
    <t>#174</t>
  </si>
  <si>
    <t>No registrado en la documentación</t>
  </si>
  <si>
    <t>Adaptador NagerDateHolidaysAdapter y script holidays:query; pruebas HTTP simuladas en apps/api/test/nager-date-holidays.test.mjs.</t>
  </si>
  <si>
    <t>Registrada a posteriori el 17-10-2026: el PR #174 se integró antes de existir la HU en el backlog. Criterios redactados a partir del README del PR.</t>
  </si>
  <si>
    <t>PBI-S9-01</t>
  </si>
  <si>
    <t>EP-14 Cierre técnico y calidad (nueva en v2.0)</t>
  </si>
  <si>
    <t>Docker y Docker Compose: imágenes de API y Web, PostgreSQL, migraciones y seed demo reproducibles</t>
  </si>
  <si>
    <t>Docker y Docker Compose</t>
  </si>
  <si>
    <t>Preparado — pendiente de integración</t>
  </si>
  <si>
    <t>— (no integrado)</t>
  </si>
  <si>
    <t>—</t>
  </si>
  <si>
    <t>Cierre Capstone</t>
  </si>
  <si>
    <t>docker compose up -d --build levanta db, migrate, api y web en estado healthy; migraciones y bootstrap automáticos; seed demo opcional.</t>
  </si>
  <si>
    <t>Configuración preparada y verificada el 17-10-2026 (anexo Propuesta_Docker): build 1 min 05 s, 4 servicios healthy, 12 migraciones aplicadas, prueba de humo 35/35, E2E 236 pruebas (234 pass).</t>
  </si>
  <si>
    <t>Pendiente de integración al repositorio por el responsable del backend (Matías Torres); será Done al integrarse por PR según la DoD v1.0.</t>
  </si>
  <si>
    <t>PBI-S9-02</t>
  </si>
  <si>
    <t>Documentación OpenAPI/Swagger de los endpoints vigentes</t>
  </si>
  <si>
    <t>Pendiente</t>
  </si>
  <si>
    <t>Especificación publicada con los 60 endpoints vigentes, esquemas de autenticación y códigos de respuesta.</t>
  </si>
  <si>
    <t>Sin implementación al 17-10-2026.</t>
  </si>
  <si>
    <t>A cargo del responsable del backend. Comprometido en Acta, Alcances y Stack Tecnológico.</t>
  </si>
  <si>
    <t>PBI-S9-03</t>
  </si>
  <si>
    <t>Hardening HTTP: CORS explícito, cabeceras de seguridad (helmet) y rate limiting en endpoints sensibles</t>
  </si>
  <si>
    <t>Hardening HTTP</t>
  </si>
  <si>
    <t>CORS con orígenes por ambiente, cabeceras de seguridad y límites de solicitudes en login/registro/refresh, con pruebas.</t>
  </si>
  <si>
    <t>Ausentes en el código al 17-10-2026, aunque ARCHITECTURE.md los describe como implementados.</t>
  </si>
  <si>
    <t>A cargo del responsable del backend. Con la propuesta Docker la Web publica /api/v1 en el mismo origen (nginx), por lo que no se requiere CORS para ese despliegue.</t>
  </si>
  <si>
    <t>PBI-S9-04</t>
  </si>
  <si>
    <t>Workflow de CI que ejecute build y pruebas unitarias en cada PR</t>
  </si>
  <si>
    <t>GitHub Actions ejecuta build y pruebas de API, Web, Desktop y client-core; el PR no se fusiona con fallos.</t>
  </si>
  <si>
    <t>Los workflows actuales sólo crean Issues de Daily Scrum.</t>
  </si>
  <si>
    <t>A cargo del responsable del backend.</t>
  </si>
  <si>
    <t>PBI-S9-05</t>
  </si>
  <si>
    <t>Corregir la aserción desactualizada de la suite E2E audit (AUTH_GOOGLE_LINKED)</t>
  </si>
  <si>
    <t>La suite audit vuelve a 11/11 sin desactivar la verificación de privacidad.</t>
  </si>
  <si>
    <t>E2E 17-10-2026: audit 9/11. El código AUTH_GOOGLE_LINKED se agregó con HU-040 y la suite HU-020 no ejecuta una vinculación Google; la suite google lo verifica 12/12.</t>
  </si>
  <si>
    <t>A cargo del responsable del backend. Defecto de la prueba, no funcional.</t>
  </si>
  <si>
    <t>PBI-S9-06</t>
  </si>
  <si>
    <t>Reconciliar la base local citajusta_dev (migración experimental WhatsApp aplicada)</t>
  </si>
  <si>
    <t>Base reconciliada mediante una de las opciones de DECISIONS.md, sin reset ni db push.</t>
  </si>
  <si>
    <t>Base aislada nueva desde las 12 migraciones probada en Docker el 17-10-2026 (opción 1).</t>
  </si>
  <si>
    <t>A cargo del responsable del backend. Afecta sólo al entorno local del equipo.</t>
  </si>
  <si>
    <t>PBI-S9-07</t>
  </si>
  <si>
    <t>Validación visual del correo Resend V2 con logo CID en Gmail</t>
  </si>
  <si>
    <t>Correo de reserva recibido en Gmail con logo, texto alternativo, fecha, hora y zona correctas; legible con imágenes bloqueadas.</t>
  </si>
  <si>
    <t>PR #173 fusionado el 17-10-2026; la recepción del HTML V1 se comprobó el 15-10-2026.</t>
  </si>
  <si>
    <t>Requiere credenciales Resend del equipo.</t>
  </si>
  <si>
    <t>PBI-S9-08</t>
  </si>
  <si>
    <t>Documentación y evidencias de la entrega Fase 2</t>
  </si>
  <si>
    <t>En curso</t>
  </si>
  <si>
    <t>Sprint 9 (en curso)</t>
  </si>
  <si>
    <t>Entregables de Fase 2 actualizados, coherentes con el código y con evidencias verificables.</t>
  </si>
  <si>
    <t>PR #172 (16-10-2026); carpeta "Entrega Final Fase 2" en preparación el 17-10-2026.</t>
  </si>
  <si>
    <t>Incluye Product Backlog v2.0 y Sprint Backlogs consolidados.</t>
  </si>
  <si>
    <t>PBI-S9-09</t>
  </si>
  <si>
    <t>Remediar vulnerabilidades de dependencias detectadas por npm audit</t>
  </si>
  <si>
    <t>npm audit --omit=dev sin vulnerabilidades críticas ni altas, o riesgo aceptado y documentado.</t>
  </si>
  <si>
    <t>npm audit 17-10-2026: 9 vulnerabilidades (1 crítica proxy-addr, 7 altas, 1 moderada).</t>
  </si>
  <si>
    <t>PBI-S9-10</t>
  </si>
  <si>
    <t>Pruebas formales de seguridad y rendimiento</t>
  </si>
  <si>
    <t>Plan de pruebas de seguridad (OWASP API Top 10) y de carga con criterios de aceptación definidos.</t>
  </si>
  <si>
    <t>Prueba indicativa 17-10-2026: 258,5 req/s, p95 92 ms (local, 1 instancia); concurrencia 10 → 1 reserva y 9 conflictos 409.</t>
  </si>
  <si>
    <t>La prueba indicativa no sustituye una prueba formal.</t>
  </si>
  <si>
    <t>Notas: (1) HU-001 a HU-020 conservan sus Story Points históricos (105 SP); el resto queda "Sin estimación registrada": no se estiman retroactivamente. (2) "Sprint de integración" usa ventanas con evidencia git: S3 30-08; S4 31-08→07-09; S5 06-09→10-09; S6 10-09→21-09; S7 22-09→04-10; S8 05-10→15-10; S9 desde 16-10. (3) HU-043 no se cuenta como Done ni como pendiente. (4) PBI-S9-01: configuración preparada y verificada el 17-10-2026 (anexo Propuesta_Docker); pendiente de integración al repositorio por el responsable del backend. Será Done al integrarse por PR (DoD v1.0). Los PBI de código (S9-02 a S9-06 y S9-09) quedan a cargo del responsable del backend.</t>
  </si>
  <si>
    <t>ÉPICAS DEL PRODUCT BACKLOG</t>
  </si>
  <si>
    <t>Fuente: 09_Epicas_Historias_Usuario v1.5 (MoSCoW). EP-14 se agrega en v2.0 para agrupar los PBI de cierre técnico del Sprint 9. Conteos con fórmulas sobre la hoja Product Backlog.</t>
  </si>
  <si>
    <t>Elementos asociados</t>
  </si>
  <si>
    <t>MoSCoW</t>
  </si>
  <si>
    <t>Elementos Done</t>
  </si>
  <si>
    <t>Elementos totales</t>
  </si>
  <si>
    <t>EP-01</t>
  </si>
  <si>
    <t>Cuenta y acceso</t>
  </si>
  <si>
    <t>HU-001, HU-002</t>
  </si>
  <si>
    <t>Must</t>
  </si>
  <si>
    <t>EP-02</t>
  </si>
  <si>
    <t>Citas</t>
  </si>
  <si>
    <t>HU-003, HU-004, HU-005, HU-006, HU-026</t>
  </si>
  <si>
    <t>EP-03</t>
  </si>
  <si>
    <t>Lista de espera</t>
  </si>
  <si>
    <t>HU-007, HU-008, HU-021</t>
  </si>
  <si>
    <t>EP-04</t>
  </si>
  <si>
    <t>Agenda</t>
  </si>
  <si>
    <t>HU-014, HU-015</t>
  </si>
  <si>
    <t>EP-05</t>
  </si>
  <si>
    <t>Administración</t>
  </si>
  <si>
    <t>HU-012, HU-013, HU-018</t>
  </si>
  <si>
    <t>EP-06</t>
  </si>
  <si>
    <t>Reasignación</t>
  </si>
  <si>
    <t>HU-016, HU-025</t>
  </si>
  <si>
    <t>EP-07</t>
  </si>
  <si>
    <t>Ofertas</t>
  </si>
  <si>
    <t>HU-009, HU-010, HU-011, HU-022, HU-023, HU-035</t>
  </si>
  <si>
    <t>EP-08</t>
  </si>
  <si>
    <t>Operación</t>
  </si>
  <si>
    <t>Should</t>
  </si>
  <si>
    <t>EP-09</t>
  </si>
  <si>
    <t>Reportes</t>
  </si>
  <si>
    <t>Could</t>
  </si>
  <si>
    <t>EP-10</t>
  </si>
  <si>
    <t>Auditoría</t>
  </si>
  <si>
    <t>EP-11</t>
  </si>
  <si>
    <t>Notificaciones</t>
  </si>
  <si>
    <t>EP-12</t>
  </si>
  <si>
    <t>Desktop institucional</t>
  </si>
  <si>
    <t>HU-027, HU-028, HU-029, HU-030, HU-031, HU-032, HU-033, HU-034, HU-036, HU-037, HU-038</t>
  </si>
  <si>
    <t>EP-13</t>
  </si>
  <si>
    <t>Integraciones externas</t>
  </si>
  <si>
    <t>HU-039, HU-040, HU-041, HU-042, HU-043, HU-044</t>
  </si>
  <si>
    <t>EP-14</t>
  </si>
  <si>
    <t>Cierre técnico y calidad (nueva en v2.0)</t>
  </si>
  <si>
    <t>PBI-S9-01 a PBI-S9-10</t>
  </si>
  <si>
    <t>REGISTRO DE CAMBIOS DE ALCANCE</t>
  </si>
  <si>
    <t>Cambios respecto del alcance original (Alcances v1.0/v1.1 y Documento Base) con su fecha, motivo y efecto en el backlog. Sólo se registran hechos documentados o verificables en git.</t>
  </si>
  <si>
    <t>N°</t>
  </si>
  <si>
    <t>Fecha</t>
  </si>
  <si>
    <t>Elemento</t>
  </si>
  <si>
    <t>Cambio</t>
  </si>
  <si>
    <t>Motivo / evidencia</t>
  </si>
  <si>
    <t>Efecto en el backlog</t>
  </si>
  <si>
    <t>15-10-2026</t>
  </si>
  <si>
    <t>HU-043 / RF-043 WhatsApp Cloud API</t>
  </si>
  <si>
    <t>Retirada del alcance entregable.</t>
  </si>
  <si>
    <t>Restricciones de facturación y verificación empresarial de Meta incompatibles con el contexto académico. Anexo 15-10 de Alcances; PR #169 (retiro documental).</t>
  </si>
  <si>
    <t>Estado "Excluida"; no cuenta como Done ni como pendiente.</t>
  </si>
  <si>
    <t>Issue #165 cerrada como COMPLETED: cambiar el motivo a "not planned". Reconciliar base local (PBI-S9-06).</t>
  </si>
  <si>
    <t>04-10-2026 (planificación) / 06-10-2026 (merge)</t>
  </si>
  <si>
    <t>HU-040 Google OAuth/OIDC</t>
  </si>
  <si>
    <t>Incorporada al Sprint 8 aunque Alcances §23 clasificaba la "integración con sistemas de identidad externos" como funcionalidad futura.</t>
  </si>
  <si>
    <t>Planificación de integraciones (PR #149, 04-10-2026); implementación PR #156.</t>
  </si>
  <si>
    <t>HU vigente y Done.</t>
  </si>
  <si>
    <t>No existía un registro de cambio de alcance equivalente al de HU-043; queda registrado aquí.</t>
  </si>
  <si>
    <t>04-10-2026 / 06-10-2026</t>
  </si>
  <si>
    <t>HU-041 Google Calendar</t>
  </si>
  <si>
    <t>Incorporada al Sprint 8 aunque Alcances §23 clasificaba la "integración con calendarios externos" como futura.</t>
  </si>
  <si>
    <t>PR #149 (planificación); PR #159 (implementación). Copia puntual, sin sincronización bidireccional.</t>
  </si>
  <si>
    <t>Ídem.</t>
  </si>
  <si>
    <t>17-10-2026</t>
  </si>
  <si>
    <t>HU-044 Nager.Date (feriados de Chile)</t>
  </si>
  <si>
    <t>Integración fusionada antes de existir una HU en el backlog; se registra a posteriori.</t>
  </si>
  <si>
    <t>PR #174 (merge 865a7d0). El anexo 15-10 la describía como "idea no implementada".</t>
  </si>
  <si>
    <t>Nueva HU-044 en EP-13, estado Done con alcance de adaptador de sólo lectura.</t>
  </si>
  <si>
    <t>Definir HU futura para aplicar feriados a la disponibilidad (tipos que cierran atención, alcance regional).</t>
  </si>
  <si>
    <t>04-10-2026</t>
  </si>
  <si>
    <t>Docker / Docker Compose</t>
  </si>
  <si>
    <t>Reprogramado del Sprint 2 (configuración técnica) al Sprint 9.</t>
  </si>
  <si>
    <t>Release Plan v1.10, R0.2: "Completar Docker/Docker Compose como parte del cierre técnico de Sprint 9".</t>
  </si>
  <si>
    <t>PBI-S9-01.</t>
  </si>
  <si>
    <t>Configuración preparada y verificada el 17-10-2026 (anexo Propuesta_Docker); pendiente de integración por el responsable del backend.</t>
  </si>
  <si>
    <t>OpenAPI / Swagger, rate limiting y hardening</t>
  </si>
  <si>
    <t>Reprogramados del Sprint 3 (Documento Base) al Sprint 9.</t>
  </si>
  <si>
    <t>Release Plan v1.10, R0.3.</t>
  </si>
  <si>
    <t>PBI-S9-02 y PBI-S9-03.</t>
  </si>
  <si>
    <t>Pendientes.</t>
  </si>
  <si>
    <t>Cantidad de Sprints</t>
  </si>
  <si>
    <t>De 8 Sprints (Documento Base: Sprint 8 = cierre) a 9 Sprints (Sprint 8 = integraciones, Sprint 9 = cierre).</t>
  </si>
  <si>
    <t>Release Plan v1.10; documentos anteriores conservan 8 Sprints.</t>
  </si>
  <si>
    <t>Sprint 9 con PBI propios.</t>
  </si>
  <si>
    <t>Mantener la referencia a 9 Sprints en los documentos nuevos.</t>
  </si>
  <si>
    <t>TRAZABILIDAD RF → HU → PR → PRUEBA</t>
  </si>
  <si>
    <t>Requisitos funcionales v0.2 y su cobertura. Pruebas: archivos de apps/*/test (unitarias, ejecutadas el 17-10-2026: API 691/691, Web 138/138, Desktop 165/165) y suites E2E sobre PostgreSQL real (17-10-2026: 236 pruebas, 234 pass).</t>
  </si>
  <si>
    <t>Requisito (resumen)</t>
  </si>
  <si>
    <t>HU</t>
  </si>
  <si>
    <t>Pruebas / evidencia</t>
  </si>
  <si>
    <t>Cobertura</t>
  </si>
  <si>
    <t>Registro de usuario final</t>
  </si>
  <si>
    <t>test/auth.service.test.mjs; E2E checkpoint 1/1; prueba de humo Docker</t>
  </si>
  <si>
    <t>Cubierto</t>
  </si>
  <si>
    <t>Iniciar y cerrar sesión de forma segura</t>
  </si>
  <si>
    <t>HU-002, HU-040</t>
  </si>
  <si>
    <t>#13, #14, #156</t>
  </si>
  <si>
    <t>auth.service.test, access-token.guard.test, auth.google.test; E2E google 12/12</t>
  </si>
  <si>
    <t>RF-003</t>
  </si>
  <si>
    <t>Recuperar acceso a la cuenta</t>
  </si>
  <si>
    <t>No implementado (alcance Objetivo)</t>
  </si>
  <si>
    <t>RF-004</t>
  </si>
  <si>
    <t>Consultar/actualizar perfil y preferencias de notificación</t>
  </si>
  <si>
    <t>HU-002 (GET /users/me), HU-040 (vinculación en /cuenta)</t>
  </si>
  <si>
    <t>#14, #156</t>
  </si>
  <si>
    <t>users.me.test; web google-auth.test</t>
  </si>
  <si>
    <t>Parcial: consulta de perfil; sin edición ni preferencias</t>
  </si>
  <si>
    <t>RF-005</t>
  </si>
  <si>
    <t>Registrar y administrar instituciones</t>
  </si>
  <si>
    <t>institutions.catalog.test</t>
  </si>
  <si>
    <t>Parcial: lectura de instituciones; sin alta/edición</t>
  </si>
  <si>
    <t>RF-006</t>
  </si>
  <si>
    <t>Administrar sedes</t>
  </si>
  <si>
    <t>HU-012, HU-029</t>
  </si>
  <si>
    <t>#68, #118</t>
  </si>
  <si>
    <t>catalog-administration(-read).test; E2E catalog 15/15; desktop catalog.test</t>
  </si>
  <si>
    <t>RF-007</t>
  </si>
  <si>
    <t>Administrar servicios</t>
  </si>
  <si>
    <t>catalog-administration.test; E2E catalog 15/15</t>
  </si>
  <si>
    <t>Registrar profesionales y asociarlos</t>
  </si>
  <si>
    <t>HU-013, HU-030</t>
  </si>
  <si>
    <t>#71, #123</t>
  </si>
  <si>
    <t>professional-administration(-read).test; E2E professionals 15/15; desktop professionals.test</t>
  </si>
  <si>
    <t>Configurar disponibilidad e indisponibilidades</t>
  </si>
  <si>
    <t>HU-014, HU-032, HU-044</t>
  </si>
  <si>
    <t>#74, #129, #174</t>
  </si>
  <si>
    <t>availability-administration(-read).test; E2E availability-admin 17/17; nager-date-holidays.test</t>
  </si>
  <si>
    <t>Cubierto (feriados: sólo consulta)</t>
  </si>
  <si>
    <t>Consultar agenda por filtros</t>
  </si>
  <si>
    <t>HU-015, HU-031</t>
  </si>
  <si>
    <t>#76, #126</t>
  </si>
  <si>
    <t>agenda.test; E2E agenda 11/11; desktop agenda(-ui).test</t>
  </si>
  <si>
    <t>Buscar citas y mostrar cupos compatibles</t>
  </si>
  <si>
    <t>HU-003, HU-026</t>
  </si>
  <si>
    <t>#16–#18, #43, #107</t>
  </si>
  <si>
    <t>availability.catalog.test; web search-selection.test</t>
  </si>
  <si>
    <t>Reservar un cupo</t>
  </si>
  <si>
    <t>appointments.booking.test; E2E appointments 23/23; concurrencia Docker 10 → 1 reserva</t>
  </si>
  <si>
    <t>Consultar citas propias</t>
  </si>
  <si>
    <t>commit 89d15a8</t>
  </si>
  <si>
    <t>appointments.listing.test; web appointments.test</t>
  </si>
  <si>
    <t>Cancelar cita y registrar el evento</t>
  </si>
  <si>
    <t>appointments.cancellation.test; E2E appointments</t>
  </si>
  <si>
    <t>RF-016</t>
  </si>
  <si>
    <t>Confirmar asistencia por el usuario</t>
  </si>
  <si>
    <t>Registrar asistencia o inasistencia</t>
  </si>
  <si>
    <t>HU-017, HU-033</t>
  </si>
  <si>
    <t>#79, #133</t>
  </si>
  <si>
    <t>attendance.test; E2E attendance 14/14; desktop attendance(-ui).test</t>
  </si>
  <si>
    <t>RF-018 a RF-021</t>
  </si>
  <si>
    <t>Lista de espera, preferencias, consulta y retiro</t>
  </si>
  <si>
    <t>#46, #58, #89</t>
  </si>
  <si>
    <t>waitlist.entry/preferences.test; E2E waitlist 24/24; web waitlist.test</t>
  </si>
  <si>
    <t>RF-022 a RF-026</t>
  </si>
  <si>
    <t>Detectar cancelación, candidatos, exclusión, ranking y oferta</t>
  </si>
  <si>
    <t>HU-009, HU-025</t>
  </si>
  <si>
    <t>#59, #105</t>
  </si>
  <si>
    <t>reassignments.offers.test; E2E reassignments 20/20 y automatic-start 8/8</t>
  </si>
  <si>
    <t>RF-027 / RF-031</t>
  </si>
  <si>
    <t>Aceptar oferta vigente y confirmar disponibilidad</t>
  </si>
  <si>
    <t>HU-010, HU-022, HU-035</t>
  </si>
  <si>
    <t>#60, #93, #139</t>
  </si>
  <si>
    <t>recipient-offers.test; web offers.test; prueba de humo Docker</t>
  </si>
  <si>
    <t>Rechazar oferta</t>
  </si>
  <si>
    <t>HU-011, HU-022</t>
  </si>
  <si>
    <t>#61, #93</t>
  </si>
  <si>
    <t>reassignments.offers.test; E2E reassignments</t>
  </si>
  <si>
    <t>RF-029 / RF-030</t>
  </si>
  <si>
    <t>Expirar ofertas y continuar con el siguiente candidato</t>
  </si>
  <si>
    <t>offer-expiration(.runner).test; E2E expiration 10/10</t>
  </si>
  <si>
    <t>Supervisión de reasignaciones y criterios de orden</t>
  </si>
  <si>
    <t>HU-016, HU-036, HU-018</t>
  </si>
  <si>
    <t>#65, #141, #81</t>
  </si>
  <si>
    <t>E2E reassignments; reassignment-policy.test; E2E reassignment-policy 13/13; desktop reassignment(-ui).test</t>
  </si>
  <si>
    <t>Parcial: supervisión read-only, sin intervención manual</t>
  </si>
  <si>
    <t>Notificaciones internas</t>
  </si>
  <si>
    <t>notifications.test; E2E notifications 8/8; web notifications.test</t>
  </si>
  <si>
    <t>RF-035</t>
  </si>
  <si>
    <t>Restringir acciones según rol y permiso</t>
  </si>
  <si>
    <t>HU-002 + transversal</t>
  </si>
  <si>
    <t>#14</t>
  </si>
  <si>
    <t>authorization-foundation.test; casos 401/403/404 en E2E</t>
  </si>
  <si>
    <t>Registrar eventos críticos (auditoría)</t>
  </si>
  <si>
    <t>HU-020, HU-038</t>
  </si>
  <si>
    <t>#86, #147</t>
  </si>
  <si>
    <t>audit.test; E2E audit 9/11 (aserción desactualizada, PBI-S9-05); desktop audit(-ui).test</t>
  </si>
  <si>
    <t>Cubierto con deuda de prueba</t>
  </si>
  <si>
    <t>Indicadores y reportes</t>
  </si>
  <si>
    <t>HU-019, HU-037</t>
  </si>
  <si>
    <t>#84, #143</t>
  </si>
  <si>
    <t>reports.test; E2E reports 15/15; desktop reports(-ui).test</t>
  </si>
  <si>
    <t>RF-038</t>
  </si>
  <si>
    <t>Búsqueda y filtros operativos</t>
  </si>
  <si>
    <t>HU-015, HU-038 (filtros de agenda y auditoría)</t>
  </si>
  <si>
    <t>#76, #147</t>
  </si>
  <si>
    <t>agenda.test; audit.test</t>
  </si>
  <si>
    <t>Parcial</t>
  </si>
  <si>
    <t>Correo transaccional con Resend</t>
  </si>
  <si>
    <t>#153, #173</t>
  </si>
  <si>
    <t>email-content/logo/delivery.test; E2E email-delivery 9/9</t>
  </si>
  <si>
    <t>Cubierto (V2: validación visual pendiente)</t>
  </si>
  <si>
    <t>Login con Google OAuth/OIDC</t>
  </si>
  <si>
    <t>auth.google.test, google-token.verifier.test; E2E google 12/12</t>
  </si>
  <si>
    <t>google-calendar.test; E2E google-calendar 10/10</t>
  </si>
  <si>
    <t>Ubicación de sede con OSM y Google Maps URLs</t>
  </si>
  <si>
    <t>branch-location.test (API); web branch-location(-ui).test</t>
  </si>
  <si>
    <t>WhatsApp Cloud API</t>
  </si>
  <si>
    <t>#169 (retiro)</t>
  </si>
  <si>
    <t>Excluido del alcance</t>
  </si>
  <si>
    <t>NOTAS DE VERSIÓN — v1.10 → v2.0</t>
  </si>
  <si>
    <t>Versión 2.0 · 17-10-2026 · Equipo CitaJusta</t>
  </si>
  <si>
    <t>Tipo</t>
  </si>
  <si>
    <t>HU-001 a HU-042 se mantienen Done con verificación git; HU-043 pasa de "Fuera de alcance" a "Excluida (15-10-2026)".</t>
  </si>
  <si>
    <t>Nueva HU</t>
  </si>
  <si>
    <t>HU-044 "Consultar feriados de Chile mediante Nager.Date", registrada a posteriori (PR #174 del 17-10-2026).</t>
  </si>
  <si>
    <t>Nuevos PBI</t>
  </si>
  <si>
    <t>PBI-S9-01 a PBI-S9-10 del Sprint 9 (cierre técnico y académico) bajo la nueva épica EP-14.</t>
  </si>
  <si>
    <t>Nuevas columnas</t>
  </si>
  <si>
    <t>Sprint de integración según fecha de merge, coincidencia plan/integración, fecha de merge, Pull Request, Observación v2.0.</t>
  </si>
  <si>
    <t>Correcciones</t>
  </si>
  <si>
    <t>Se agregan los PR omitidos en v1.10 (#118, #123, #126, #129, #133) y se explicita que HU-005 no tuvo PR (commit 89d15a8).</t>
  </si>
  <si>
    <t>Issue de HU-039 a HU-042: v1.10 indicaba "Pendiente de crear/refinar" mientras citaba Issues cerrados; v2.0 registra #152, #155, #158 y #162.</t>
  </si>
  <si>
    <t>HU-042 figuraba como "implementación local" en el anexo 15-10; el PR #163 se fusionó el 08-10-2026.</t>
  </si>
  <si>
    <t>La mejora Resend V2 figuraba "sin commit/PR"; quedó fusionada el 17-10-2026 (PR #173). Su validación en Gmail pasa a PBI-S9-07.</t>
  </si>
  <si>
    <t>"Historias Objetivo 21" de v1.10 incluía HU-043 excluida; los conteos de v2.0 la separan.</t>
  </si>
  <si>
    <t>Normalización</t>
  </si>
  <si>
    <t>La columna Épica usa el código EP-xx del documento 09 (por ejemplo HU-023 y HU-035 → EP-07 Ofertas; HU-038 → EP-12).</t>
  </si>
  <si>
    <t>Métrica</t>
  </si>
  <si>
    <t>Se agrega el avance derivado del backlog: 100 % por HU vigentes y 81,1 % incluyendo los PBI de cierre técnico (Resumen).</t>
  </si>
  <si>
    <t>Conservado</t>
  </si>
  <si>
    <t>Redacción de historias, criterios de aceptación, prioridades, RF, alcance y Story Points de la v1.10 sin cambios. Las hojas históricas "Actualización 15-10" y "Corte GitHub 16-10" permanecen en el archivo v1.10.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</si>
</sst>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172B50"/>
      <sz val="15"/>
    </font>
    <font>
      <i/>
      <color rgb="5B6573"/>
      <sz val="10"/>
    </font>
    <font>
      <b/>
      <color rgb="FFFFFFFF"/>
      <sz val="10"/>
    </font>
    <font>
      <sz val="9.5"/>
    </font>
    <font>
      <b/>
      <color rgb="008184"/>
      <sz val="11"/>
    </font>
    <font>
      <i/>
      <color rgb="172B50"/>
      <sz val="9.5"/>
    </font>
  </fonts>
  <fills count="8">
    <fill>
      <patternFill patternType="none"/>
    </fill>
    <fill>
      <patternFill patternType="gray125"/>
    </fill>
    <fill>
      <patternFill patternType="solid">
        <fgColor rgb="0B5F66"/>
      </patternFill>
    </fill>
    <fill>
      <patternFill patternType="solid">
        <fgColor rgb="F3F8FB"/>
      </patternFill>
    </fill>
    <fill>
      <patternFill patternType="solid">
        <fgColor rgb="FFF4E0"/>
      </patternFill>
    </fill>
    <fill>
      <patternFill patternType="solid">
        <fgColor rgb="E7F5EE"/>
      </patternFill>
    </fill>
    <fill>
      <patternFill patternType="solid">
        <fgColor rgb="FDECEA"/>
      </patternFill>
    </fill>
    <fill>
      <patternFill patternType="solid">
        <fgColor rgb="E6F4F4"/>
      </patternFill>
    </fill>
  </fills>
  <borders count="2">
    <border>
      <left/>
      <right/>
      <top/>
      <bottom/>
      <diagonal/>
    </border>
    <border>
      <left style="thin">
        <color rgb="C5CFD9"/>
      </left>
      <right style="thin">
        <color rgb="C5CFD9"/>
      </right>
      <top style="thin">
        <color rgb="C5CFD9"/>
      </top>
      <bottom style="thin">
        <color rgb="C5CF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184"/>
    <pageSetUpPr fitToPage="1"/>
  </sheetPr>
  <dimension ref="A1:D27"/>
  <sheetViews>
    <sheetView workbookViewId="0"/>
  </sheetViews>
  <sheetFormatPr defaultRowHeight="15" outlineLevelRow="0" outlineLevelCol="0" x14ac:dyDescent="55"/>
  <cols>
    <col min="1" max="1" width="42" customWidth="1"/>
    <col min="2" max="2" width="16" customWidth="1"/>
    <col min="3" max="3" width="40" customWidth="1"/>
    <col min="4" max="4" width="70" customWidth="1"/>
  </cols>
  <sheetData>
    <row r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/>
      <c r="C2" s="2"/>
      <c r="D2" s="2"/>
    </row>
    <row r="4" ht="3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f>COUNTIF('Product Backlog'!A:A,"HU-*")</f>
        <v>44</v>
      </c>
      <c r="C5" s="4" t="s">
        <v>7</v>
      </c>
      <c r="D5" s="4" t="s">
        <v>8</v>
      </c>
    </row>
    <row r="6" spans="1:4" x14ac:dyDescent="0.25">
      <c r="A6" s="6" t="s">
        <v>9</v>
      </c>
      <c r="B6" s="7">
        <f>COUNTIF('Product Backlog'!E:E,"Excluida*")</f>
        <v>1</v>
      </c>
      <c r="C6" s="6" t="s">
        <v>10</v>
      </c>
      <c r="D6" s="6" t="s">
        <v>11</v>
      </c>
    </row>
    <row r="7" spans="1:4" x14ac:dyDescent="0.25">
      <c r="A7" s="4" t="s">
        <v>12</v>
      </c>
      <c r="B7" s="5">
        <f>B5-B6</f>
        <v>43</v>
      </c>
      <c r="C7" s="4" t="s">
        <v>13</v>
      </c>
      <c r="D7" s="4" t="s">
        <v>14</v>
      </c>
    </row>
    <row r="8" spans="1:4" x14ac:dyDescent="0.25">
      <c r="A8" s="6" t="s">
        <v>15</v>
      </c>
      <c r="B8" s="7">
        <f>COUNTIFS('Product Backlog'!A:A,"HU-*",'Product Backlog'!E:E,"Done")</f>
        <v>43</v>
      </c>
      <c r="C8" s="6" t="s">
        <v>16</v>
      </c>
      <c r="D8" s="6" t="s">
        <v>17</v>
      </c>
    </row>
    <row r="9" spans="1:4" x14ac:dyDescent="0.25">
      <c r="A9" s="4" t="s">
        <v>18</v>
      </c>
      <c r="B9" s="8">
        <f>B8/B7</f>
        <v>1</v>
      </c>
      <c r="C9" s="4" t="s">
        <v>19</v>
      </c>
      <c r="D9" s="4" t="s">
        <v>20</v>
      </c>
    </row>
    <row r="10" spans="1:4" x14ac:dyDescent="0.25">
      <c r="A10" s="6" t="s">
        <v>21</v>
      </c>
      <c r="B10" s="7">
        <f>COUNTIF('Product Backlog'!A:A,"PBI-S9-*")</f>
        <v>10</v>
      </c>
      <c r="C10" s="6" t="s">
        <v>22</v>
      </c>
      <c r="D10" s="6" t="s">
        <v>23</v>
      </c>
    </row>
    <row r="11" spans="1:4" x14ac:dyDescent="0.25">
      <c r="A11" s="4" t="s">
        <v>24</v>
      </c>
      <c r="B11" s="5">
        <f>COUNTIFS('Product Backlog'!A:A,"PBI-S9-*",'Product Backlog'!E:E,"Done")</f>
        <v>0</v>
      </c>
      <c r="C11" s="4" t="s">
        <v>25</v>
      </c>
      <c r="D11" s="4" t="s">
        <v>26</v>
      </c>
    </row>
    <row r="12" spans="1:4" x14ac:dyDescent="0.25">
      <c r="A12" s="6" t="s">
        <v>27</v>
      </c>
      <c r="B12" s="7">
        <f>COUNTIFS('Product Backlog'!A:A,"PBI-S9-*",'Product Backlog'!E:E,"Preparado*")</f>
        <v>1</v>
      </c>
      <c r="C12" s="6" t="s">
        <v>28</v>
      </c>
      <c r="D12" s="6" t="s">
        <v>29</v>
      </c>
    </row>
    <row r="13" spans="1:4" x14ac:dyDescent="0.25">
      <c r="A13" s="4" t="s">
        <v>30</v>
      </c>
      <c r="B13" s="8">
        <f>(B8+B11)/(B7+B10)</f>
        <v>0.8113207547169812</v>
      </c>
      <c r="C13" s="4" t="s">
        <v>31</v>
      </c>
      <c r="D13" s="4" t="s">
        <v>32</v>
      </c>
    </row>
    <row r="14" spans="1:4" x14ac:dyDescent="0.25">
      <c r="A14" s="6" t="s">
        <v>33</v>
      </c>
      <c r="B14" s="7">
        <f>SUM('Product Backlog'!F5:F58)</f>
        <v>105</v>
      </c>
      <c r="C14" s="6" t="s">
        <v>34</v>
      </c>
      <c r="D14" s="6" t="s">
        <v>35</v>
      </c>
    </row>
    <row r="15" spans="1:4" x14ac:dyDescent="0.25">
      <c r="A15" s="4" t="s">
        <v>36</v>
      </c>
      <c r="B15" s="5">
        <f>SUMIFS('Product Backlog'!F5:F58,'Product Backlog'!E5:E58,"Done")</f>
        <v>105</v>
      </c>
      <c r="C15" s="4" t="s">
        <v>37</v>
      </c>
      <c r="D15" s="4" t="s">
        <v>38</v>
      </c>
    </row>
    <row r="18" ht="32" customHeight="1" spans="1:4" x14ac:dyDescent="0.25">
      <c r="A18" s="3" t="s">
        <v>39</v>
      </c>
      <c r="B18" s="3" t="s">
        <v>40</v>
      </c>
      <c r="C18" s="3" t="s">
        <v>41</v>
      </c>
      <c r="D18" s="3" t="s">
        <v>42</v>
      </c>
    </row>
    <row r="19" spans="1:4" x14ac:dyDescent="0.25">
      <c r="A19" s="4" t="s">
        <v>43</v>
      </c>
      <c r="B19" s="4">
        <f>COUNTIFS('Product Backlog'!A:A,"HU-*",'Product Backlog'!G:G,"Sprint 3")</f>
        <v>2</v>
      </c>
      <c r="C19" s="4">
        <f>COUNTIFS('Product Backlog'!A:A,"HU-*",'Product Backlog'!H:H,"Sprint 3")</f>
        <v>2</v>
      </c>
      <c r="D19" s="4" t="s">
        <v>44</v>
      </c>
    </row>
    <row r="20" spans="1:4" x14ac:dyDescent="0.25">
      <c r="A20" s="6" t="s">
        <v>45</v>
      </c>
      <c r="B20" s="6">
        <f>COUNTIFS('Product Backlog'!A:A,"HU-*",'Product Backlog'!G:G,"Sprint 4")</f>
        <v>5</v>
      </c>
      <c r="C20" s="6">
        <f>COUNTIFS('Product Backlog'!A:A,"HU-*",'Product Backlog'!H:H,"Sprint 4")</f>
        <v>0</v>
      </c>
      <c r="D20" s="6" t="s">
        <v>46</v>
      </c>
    </row>
    <row r="21" spans="1:4" x14ac:dyDescent="0.25">
      <c r="A21" s="4" t="s">
        <v>47</v>
      </c>
      <c r="B21" s="4">
        <f>COUNTIFS('Product Backlog'!A:A,"HU-*",'Product Backlog'!G:G,"Sprint 5")</f>
        <v>7</v>
      </c>
      <c r="C21" s="4">
        <f>COUNTIFS('Product Backlog'!A:A,"HU-*",'Product Backlog'!H:H,"Sprint 5")</f>
        <v>6</v>
      </c>
      <c r="D21" s="4" t="s">
        <v>44</v>
      </c>
    </row>
    <row r="22" spans="1:4" x14ac:dyDescent="0.25">
      <c r="A22" s="6" t="s">
        <v>48</v>
      </c>
      <c r="B22" s="6">
        <f>COUNTIFS('Product Backlog'!A:A,"HU-*",'Product Backlog'!G:G,"Sprint 6")</f>
        <v>8</v>
      </c>
      <c r="C22" s="6">
        <f>COUNTIFS('Product Backlog'!A:A,"HU-*",'Product Backlog'!H:H,"Sprint 6")</f>
        <v>16</v>
      </c>
      <c r="D22" s="6" t="s">
        <v>49</v>
      </c>
    </row>
    <row r="23" spans="1:4" x14ac:dyDescent="0.25">
      <c r="A23" s="4" t="s">
        <v>50</v>
      </c>
      <c r="B23" s="4">
        <f>COUNTIFS('Product Backlog'!A:A,"HU-*",'Product Backlog'!G:G,"Sprint 7")</f>
        <v>16</v>
      </c>
      <c r="C23" s="4">
        <f>COUNTIFS('Product Backlog'!A:A,"HU-*",'Product Backlog'!H:H,"Sprint 7")</f>
        <v>14</v>
      </c>
      <c r="D23" s="4" t="s">
        <v>44</v>
      </c>
    </row>
    <row r="24" spans="1:4" x14ac:dyDescent="0.25">
      <c r="A24" s="6" t="s">
        <v>51</v>
      </c>
      <c r="B24" s="6">
        <f>COUNTIFS('Product Backlog'!A:A,"HU-*",'Product Backlog'!G:G,"Sprint 8")</f>
        <v>5</v>
      </c>
      <c r="C24" s="6">
        <f>COUNTIFS('Product Backlog'!A:A,"HU-*",'Product Backlog'!H:H,"Sprint 8")</f>
        <v>4</v>
      </c>
      <c r="D24" s="6" t="s">
        <v>52</v>
      </c>
    </row>
    <row r="25" spans="1:4" x14ac:dyDescent="0.25">
      <c r="A25" s="4" t="s">
        <v>53</v>
      </c>
      <c r="B25" s="4">
        <f>COUNTIFS('Product Backlog'!A:A,"HU-*",'Product Backlog'!G:G,"Sprint 9")</f>
        <v>0</v>
      </c>
      <c r="C25" s="4">
        <f>COUNTIFS('Product Backlog'!A:A,"HU-*",'Product Backlog'!H:H,"Sprint 9")</f>
        <v>1</v>
      </c>
      <c r="D25" s="4" t="s">
        <v>54</v>
      </c>
    </row>
    <row r="27" ht="45" customHeight="1" spans="1:4" x14ac:dyDescent="0.25">
      <c r="A27" s="9" t="s">
        <v>55</v>
      </c>
      <c r="B27" s="9"/>
      <c r="C27" s="9"/>
      <c r="D27" s="9"/>
    </row>
  </sheetData>
  <mergeCells count="3">
    <mergeCell ref="A1:D1"/>
    <mergeCell ref="A2:D2"/>
    <mergeCell ref="A27:D27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B5F66"/>
    <pageSetUpPr fitToPage="1"/>
  </sheetPr>
  <dimension ref="A1:S6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46" customWidth="1"/>
    <col min="4" max="4" width="26" customWidth="1"/>
    <col min="5" max="5" width="14" customWidth="1"/>
    <col min="6" max="6" width="11" customWidth="1"/>
    <col min="7" max="7" width="12" customWidth="1"/>
    <col min="8" max="8" width="13" customWidth="1"/>
    <col min="9" max="10" width="12" customWidth="1"/>
    <col min="11" max="11" width="10" customWidth="1"/>
    <col min="12" max="12" width="16" customWidth="1"/>
    <col min="13" max="13" width="10" customWidth="1"/>
    <col min="14" max="14" width="58" customWidth="1"/>
    <col min="15" max="15" width="34" customWidth="1"/>
    <col min="16" max="16" width="22" customWidth="1"/>
    <col min="17" max="17" width="20" customWidth="1"/>
    <col min="18" max="18" width="42" customWidth="1"/>
    <col min="19" max="19" width="46" customWidth="1"/>
  </cols>
  <sheetData>
    <row r="1" spans="1:19" x14ac:dyDescent="0.25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0" customHeight="1" spans="1:19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32" customHeight="1" spans="1:19" x14ac:dyDescent="0.25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</row>
    <row r="5" spans="1:19" x14ac:dyDescent="0.25">
      <c r="A5" s="4" t="s">
        <v>77</v>
      </c>
      <c r="B5" s="4" t="s">
        <v>78</v>
      </c>
      <c r="C5" s="4" t="s">
        <v>79</v>
      </c>
      <c r="D5" s="4" t="s">
        <v>80</v>
      </c>
      <c r="E5" s="10" t="s">
        <v>81</v>
      </c>
      <c r="F5" s="4">
        <v>3</v>
      </c>
      <c r="G5" s="4" t="s">
        <v>43</v>
      </c>
      <c r="H5" s="4" t="s">
        <v>43</v>
      </c>
      <c r="I5" s="4" t="s">
        <v>82</v>
      </c>
      <c r="J5" s="4" t="s">
        <v>83</v>
      </c>
      <c r="K5" s="4" t="s">
        <v>84</v>
      </c>
      <c r="L5" s="4" t="s">
        <v>85</v>
      </c>
      <c r="M5" s="4" t="s">
        <v>86</v>
      </c>
      <c r="N5" s="4" t="s">
        <v>87</v>
      </c>
      <c r="O5" s="4" t="s">
        <v>88</v>
      </c>
      <c r="P5" s="4" t="s">
        <v>89</v>
      </c>
      <c r="Q5" s="4" t="s">
        <v>90</v>
      </c>
      <c r="R5" s="4" t="s">
        <v>91</v>
      </c>
      <c r="S5" s="4" t="s">
        <v>44</v>
      </c>
    </row>
    <row r="6" spans="1:19" x14ac:dyDescent="0.25">
      <c r="A6" s="6" t="s">
        <v>92</v>
      </c>
      <c r="B6" s="6" t="s">
        <v>78</v>
      </c>
      <c r="C6" s="6" t="s">
        <v>93</v>
      </c>
      <c r="D6" s="6" t="s">
        <v>94</v>
      </c>
      <c r="E6" s="10" t="s">
        <v>81</v>
      </c>
      <c r="F6" s="6">
        <v>3</v>
      </c>
      <c r="G6" s="6" t="s">
        <v>43</v>
      </c>
      <c r="H6" s="6" t="s">
        <v>43</v>
      </c>
      <c r="I6" s="6" t="s">
        <v>82</v>
      </c>
      <c r="J6" s="6" t="s">
        <v>83</v>
      </c>
      <c r="K6" s="6" t="s">
        <v>95</v>
      </c>
      <c r="L6" s="6" t="s">
        <v>96</v>
      </c>
      <c r="M6" s="6" t="s">
        <v>86</v>
      </c>
      <c r="N6" s="6" t="s">
        <v>97</v>
      </c>
      <c r="O6" s="6" t="s">
        <v>98</v>
      </c>
      <c r="P6" s="6" t="s">
        <v>99</v>
      </c>
      <c r="Q6" s="6" t="s">
        <v>90</v>
      </c>
      <c r="R6" s="6" t="s">
        <v>100</v>
      </c>
      <c r="S6" s="6" t="s">
        <v>44</v>
      </c>
    </row>
    <row r="7" spans="1:19" x14ac:dyDescent="0.25">
      <c r="A7" s="4" t="s">
        <v>101</v>
      </c>
      <c r="B7" s="4" t="s">
        <v>102</v>
      </c>
      <c r="C7" s="4" t="s">
        <v>103</v>
      </c>
      <c r="D7" s="4" t="s">
        <v>104</v>
      </c>
      <c r="E7" s="10" t="s">
        <v>81</v>
      </c>
      <c r="F7" s="4">
        <v>5</v>
      </c>
      <c r="G7" s="4" t="s">
        <v>45</v>
      </c>
      <c r="H7" s="4" t="s">
        <v>47</v>
      </c>
      <c r="I7" s="11" t="s">
        <v>105</v>
      </c>
      <c r="J7" s="4" t="s">
        <v>106</v>
      </c>
      <c r="K7" s="4" t="s">
        <v>95</v>
      </c>
      <c r="L7" s="4" t="s">
        <v>107</v>
      </c>
      <c r="M7" s="4" t="s">
        <v>86</v>
      </c>
      <c r="N7" s="4" t="s">
        <v>108</v>
      </c>
      <c r="O7" s="4" t="s">
        <v>109</v>
      </c>
      <c r="P7" s="4" t="s">
        <v>110</v>
      </c>
      <c r="Q7" s="4" t="s">
        <v>111</v>
      </c>
      <c r="R7" s="4" t="s">
        <v>112</v>
      </c>
      <c r="S7" s="4" t="s">
        <v>113</v>
      </c>
    </row>
    <row r="8" spans="1:19" x14ac:dyDescent="0.25">
      <c r="A8" s="6" t="s">
        <v>114</v>
      </c>
      <c r="B8" s="6" t="s">
        <v>102</v>
      </c>
      <c r="C8" s="6" t="s">
        <v>115</v>
      </c>
      <c r="D8" s="6" t="s">
        <v>116</v>
      </c>
      <c r="E8" s="10" t="s">
        <v>81</v>
      </c>
      <c r="F8" s="6">
        <v>5</v>
      </c>
      <c r="G8" s="6" t="s">
        <v>47</v>
      </c>
      <c r="H8" s="6" t="s">
        <v>47</v>
      </c>
      <c r="I8" s="6" t="s">
        <v>82</v>
      </c>
      <c r="J8" s="6" t="s">
        <v>117</v>
      </c>
      <c r="K8" s="6" t="s">
        <v>95</v>
      </c>
      <c r="L8" s="6" t="s">
        <v>118</v>
      </c>
      <c r="M8" s="6" t="s">
        <v>86</v>
      </c>
      <c r="N8" s="6" t="s">
        <v>119</v>
      </c>
      <c r="O8" s="6" t="s">
        <v>120</v>
      </c>
      <c r="P8" s="6" t="s">
        <v>121</v>
      </c>
      <c r="Q8" s="6" t="s">
        <v>122</v>
      </c>
      <c r="R8" s="6" t="s">
        <v>123</v>
      </c>
      <c r="S8" s="6" t="s">
        <v>44</v>
      </c>
    </row>
    <row r="9" spans="1:19" x14ac:dyDescent="0.25">
      <c r="A9" s="4" t="s">
        <v>124</v>
      </c>
      <c r="B9" s="4" t="s">
        <v>102</v>
      </c>
      <c r="C9" s="4" t="s">
        <v>125</v>
      </c>
      <c r="D9" s="4" t="s">
        <v>126</v>
      </c>
      <c r="E9" s="10" t="s">
        <v>81</v>
      </c>
      <c r="F9" s="4">
        <v>3</v>
      </c>
      <c r="G9" s="4" t="s">
        <v>47</v>
      </c>
      <c r="H9" s="4" t="s">
        <v>47</v>
      </c>
      <c r="I9" s="4" t="s">
        <v>82</v>
      </c>
      <c r="J9" s="4" t="s">
        <v>127</v>
      </c>
      <c r="K9" s="4" t="s">
        <v>84</v>
      </c>
      <c r="L9" s="4" t="s">
        <v>128</v>
      </c>
      <c r="M9" s="4" t="s">
        <v>86</v>
      </c>
      <c r="N9" s="4" t="s">
        <v>129</v>
      </c>
      <c r="O9" s="4" t="s">
        <v>130</v>
      </c>
      <c r="P9" s="4" t="s">
        <v>131</v>
      </c>
      <c r="Q9" s="4" t="s">
        <v>132</v>
      </c>
      <c r="R9" s="4" t="s">
        <v>133</v>
      </c>
      <c r="S9" s="4" t="s">
        <v>134</v>
      </c>
    </row>
    <row r="10" spans="1:19" x14ac:dyDescent="0.25">
      <c r="A10" s="6" t="s">
        <v>135</v>
      </c>
      <c r="B10" s="6" t="s">
        <v>102</v>
      </c>
      <c r="C10" s="6" t="s">
        <v>136</v>
      </c>
      <c r="D10" s="6" t="s">
        <v>137</v>
      </c>
      <c r="E10" s="10" t="s">
        <v>81</v>
      </c>
      <c r="F10" s="6">
        <v>5</v>
      </c>
      <c r="G10" s="6" t="s">
        <v>47</v>
      </c>
      <c r="H10" s="6" t="s">
        <v>47</v>
      </c>
      <c r="I10" s="6" t="s">
        <v>82</v>
      </c>
      <c r="J10" s="6" t="s">
        <v>127</v>
      </c>
      <c r="K10" s="6" t="s">
        <v>95</v>
      </c>
      <c r="L10" s="6" t="s">
        <v>138</v>
      </c>
      <c r="M10" s="6" t="s">
        <v>86</v>
      </c>
      <c r="N10" s="6" t="s">
        <v>139</v>
      </c>
      <c r="O10" s="6" t="s">
        <v>140</v>
      </c>
      <c r="P10" s="6" t="s">
        <v>141</v>
      </c>
      <c r="Q10" s="6" t="s">
        <v>142</v>
      </c>
      <c r="R10" s="6" t="s">
        <v>143</v>
      </c>
      <c r="S10" s="6" t="s">
        <v>44</v>
      </c>
    </row>
    <row r="11" spans="1:19" x14ac:dyDescent="0.25">
      <c r="A11" s="4" t="s">
        <v>144</v>
      </c>
      <c r="B11" s="4" t="s">
        <v>145</v>
      </c>
      <c r="C11" s="4" t="s">
        <v>146</v>
      </c>
      <c r="D11" s="4" t="s">
        <v>147</v>
      </c>
      <c r="E11" s="10" t="s">
        <v>81</v>
      </c>
      <c r="F11" s="4">
        <v>5</v>
      </c>
      <c r="G11" s="4" t="s">
        <v>47</v>
      </c>
      <c r="H11" s="4" t="s">
        <v>47</v>
      </c>
      <c r="I11" s="4" t="s">
        <v>82</v>
      </c>
      <c r="J11" s="4" t="s">
        <v>148</v>
      </c>
      <c r="K11" s="4" t="s">
        <v>95</v>
      </c>
      <c r="L11" s="4" t="s">
        <v>149</v>
      </c>
      <c r="M11" s="4" t="s">
        <v>86</v>
      </c>
      <c r="N11" s="4" t="s">
        <v>150</v>
      </c>
      <c r="O11" s="4" t="s">
        <v>151</v>
      </c>
      <c r="P11" s="4" t="s">
        <v>152</v>
      </c>
      <c r="Q11" s="4" t="s">
        <v>153</v>
      </c>
      <c r="R11" s="4" t="s">
        <v>154</v>
      </c>
      <c r="S11" s="4" t="s">
        <v>44</v>
      </c>
    </row>
    <row r="12" spans="1:19" x14ac:dyDescent="0.25">
      <c r="A12" s="6" t="s">
        <v>155</v>
      </c>
      <c r="B12" s="6" t="s">
        <v>145</v>
      </c>
      <c r="C12" s="6" t="s">
        <v>156</v>
      </c>
      <c r="D12" s="6" t="s">
        <v>157</v>
      </c>
      <c r="E12" s="10" t="s">
        <v>81</v>
      </c>
      <c r="F12" s="6">
        <v>5</v>
      </c>
      <c r="G12" s="6" t="s">
        <v>47</v>
      </c>
      <c r="H12" s="6" t="s">
        <v>47</v>
      </c>
      <c r="I12" s="6" t="s">
        <v>82</v>
      </c>
      <c r="J12" s="6" t="s">
        <v>148</v>
      </c>
      <c r="K12" s="6" t="s">
        <v>84</v>
      </c>
      <c r="L12" s="6" t="s">
        <v>158</v>
      </c>
      <c r="M12" s="6" t="s">
        <v>86</v>
      </c>
      <c r="N12" s="6" t="s">
        <v>159</v>
      </c>
      <c r="O12" s="6" t="s">
        <v>160</v>
      </c>
      <c r="P12" s="6" t="s">
        <v>161</v>
      </c>
      <c r="Q12" s="6" t="s">
        <v>162</v>
      </c>
      <c r="R12" s="6" t="s">
        <v>163</v>
      </c>
      <c r="S12" s="6" t="s">
        <v>44</v>
      </c>
    </row>
    <row r="13" spans="1:19" x14ac:dyDescent="0.25">
      <c r="A13" s="4" t="s">
        <v>164</v>
      </c>
      <c r="B13" s="4" t="s">
        <v>165</v>
      </c>
      <c r="C13" s="4" t="s">
        <v>166</v>
      </c>
      <c r="D13" s="4" t="s">
        <v>167</v>
      </c>
      <c r="E13" s="10" t="s">
        <v>81</v>
      </c>
      <c r="F13" s="4">
        <v>8</v>
      </c>
      <c r="G13" s="4" t="s">
        <v>48</v>
      </c>
      <c r="H13" s="4" t="s">
        <v>48</v>
      </c>
      <c r="I13" s="4" t="s">
        <v>82</v>
      </c>
      <c r="J13" s="4" t="s">
        <v>148</v>
      </c>
      <c r="K13" s="4" t="s">
        <v>95</v>
      </c>
      <c r="L13" s="4" t="s">
        <v>168</v>
      </c>
      <c r="M13" s="4" t="s">
        <v>86</v>
      </c>
      <c r="N13" s="4" t="s">
        <v>169</v>
      </c>
      <c r="O13" s="4" t="s">
        <v>170</v>
      </c>
      <c r="P13" s="4" t="s">
        <v>171</v>
      </c>
      <c r="Q13" s="4" t="s">
        <v>172</v>
      </c>
      <c r="R13" s="4" t="s">
        <v>173</v>
      </c>
      <c r="S13" s="4" t="s">
        <v>44</v>
      </c>
    </row>
    <row r="14" spans="1:19" x14ac:dyDescent="0.25">
      <c r="A14" s="6" t="s">
        <v>174</v>
      </c>
      <c r="B14" s="6" t="s">
        <v>165</v>
      </c>
      <c r="C14" s="6" t="s">
        <v>175</v>
      </c>
      <c r="D14" s="6" t="s">
        <v>176</v>
      </c>
      <c r="E14" s="10" t="s">
        <v>81</v>
      </c>
      <c r="F14" s="6">
        <v>8</v>
      </c>
      <c r="G14" s="6" t="s">
        <v>48</v>
      </c>
      <c r="H14" s="6" t="s">
        <v>48</v>
      </c>
      <c r="I14" s="6" t="s">
        <v>82</v>
      </c>
      <c r="J14" s="6" t="s">
        <v>148</v>
      </c>
      <c r="K14" s="6" t="s">
        <v>95</v>
      </c>
      <c r="L14" s="6" t="s">
        <v>177</v>
      </c>
      <c r="M14" s="6" t="s">
        <v>86</v>
      </c>
      <c r="N14" s="6" t="s">
        <v>178</v>
      </c>
      <c r="O14" s="6" t="s">
        <v>179</v>
      </c>
      <c r="P14" s="6" t="s">
        <v>180</v>
      </c>
      <c r="Q14" s="6" t="s">
        <v>181</v>
      </c>
      <c r="R14" s="6" t="s">
        <v>182</v>
      </c>
      <c r="S14" s="6" t="s">
        <v>44</v>
      </c>
    </row>
    <row r="15" spans="1:19" x14ac:dyDescent="0.25">
      <c r="A15" s="4" t="s">
        <v>183</v>
      </c>
      <c r="B15" s="4" t="s">
        <v>165</v>
      </c>
      <c r="C15" s="4" t="s">
        <v>184</v>
      </c>
      <c r="D15" s="4" t="s">
        <v>185</v>
      </c>
      <c r="E15" s="10" t="s">
        <v>81</v>
      </c>
      <c r="F15" s="4">
        <v>3</v>
      </c>
      <c r="G15" s="4" t="s">
        <v>48</v>
      </c>
      <c r="H15" s="4" t="s">
        <v>48</v>
      </c>
      <c r="I15" s="4" t="s">
        <v>82</v>
      </c>
      <c r="J15" s="4" t="s">
        <v>148</v>
      </c>
      <c r="K15" s="4" t="s">
        <v>84</v>
      </c>
      <c r="L15" s="4" t="s">
        <v>186</v>
      </c>
      <c r="M15" s="4" t="s">
        <v>86</v>
      </c>
      <c r="N15" s="4" t="s">
        <v>187</v>
      </c>
      <c r="O15" s="4" t="s">
        <v>188</v>
      </c>
      <c r="P15" s="4" t="s">
        <v>189</v>
      </c>
      <c r="Q15" s="4" t="s">
        <v>190</v>
      </c>
      <c r="R15" s="4" t="s">
        <v>191</v>
      </c>
      <c r="S15" s="4" t="s">
        <v>44</v>
      </c>
    </row>
    <row r="16" spans="1:19" x14ac:dyDescent="0.25">
      <c r="A16" s="6" t="s">
        <v>192</v>
      </c>
      <c r="B16" s="6" t="s">
        <v>193</v>
      </c>
      <c r="C16" s="6" t="s">
        <v>194</v>
      </c>
      <c r="D16" s="6" t="s">
        <v>195</v>
      </c>
      <c r="E16" s="10" t="s">
        <v>81</v>
      </c>
      <c r="F16" s="6">
        <v>5</v>
      </c>
      <c r="G16" s="6" t="s">
        <v>45</v>
      </c>
      <c r="H16" s="6" t="s">
        <v>48</v>
      </c>
      <c r="I16" s="11" t="s">
        <v>105</v>
      </c>
      <c r="J16" s="6" t="s">
        <v>196</v>
      </c>
      <c r="K16" s="6" t="s">
        <v>84</v>
      </c>
      <c r="L16" s="6" t="s">
        <v>197</v>
      </c>
      <c r="M16" s="6" t="s">
        <v>86</v>
      </c>
      <c r="N16" s="6" t="s">
        <v>198</v>
      </c>
      <c r="O16" s="6" t="s">
        <v>199</v>
      </c>
      <c r="P16" s="6" t="s">
        <v>200</v>
      </c>
      <c r="Q16" s="6" t="s">
        <v>201</v>
      </c>
      <c r="R16" s="6" t="s">
        <v>202</v>
      </c>
      <c r="S16" s="6" t="s">
        <v>203</v>
      </c>
    </row>
    <row r="17" spans="1:19" x14ac:dyDescent="0.25">
      <c r="A17" s="4" t="s">
        <v>204</v>
      </c>
      <c r="B17" s="4" t="s">
        <v>193</v>
      </c>
      <c r="C17" s="4" t="s">
        <v>205</v>
      </c>
      <c r="D17" s="4" t="s">
        <v>206</v>
      </c>
      <c r="E17" s="10" t="s">
        <v>81</v>
      </c>
      <c r="F17" s="4">
        <v>5</v>
      </c>
      <c r="G17" s="4" t="s">
        <v>45</v>
      </c>
      <c r="H17" s="4" t="s">
        <v>48</v>
      </c>
      <c r="I17" s="11" t="s">
        <v>105</v>
      </c>
      <c r="J17" s="4" t="s">
        <v>207</v>
      </c>
      <c r="K17" s="4" t="s">
        <v>84</v>
      </c>
      <c r="L17" s="4" t="s">
        <v>208</v>
      </c>
      <c r="M17" s="4" t="s">
        <v>86</v>
      </c>
      <c r="N17" s="4" t="s">
        <v>209</v>
      </c>
      <c r="O17" s="4" t="s">
        <v>210</v>
      </c>
      <c r="P17" s="4" t="s">
        <v>211</v>
      </c>
      <c r="Q17" s="4" t="s">
        <v>212</v>
      </c>
      <c r="R17" s="4" t="s">
        <v>213</v>
      </c>
      <c r="S17" s="4" t="s">
        <v>214</v>
      </c>
    </row>
    <row r="18" spans="1:19" x14ac:dyDescent="0.25">
      <c r="A18" s="6" t="s">
        <v>215</v>
      </c>
      <c r="B18" s="6" t="s">
        <v>216</v>
      </c>
      <c r="C18" s="6" t="s">
        <v>217</v>
      </c>
      <c r="D18" s="6" t="s">
        <v>218</v>
      </c>
      <c r="E18" s="10" t="s">
        <v>81</v>
      </c>
      <c r="F18" s="6">
        <v>8</v>
      </c>
      <c r="G18" s="6" t="s">
        <v>45</v>
      </c>
      <c r="H18" s="6" t="s">
        <v>48</v>
      </c>
      <c r="I18" s="11" t="s">
        <v>105</v>
      </c>
      <c r="J18" s="6" t="s">
        <v>207</v>
      </c>
      <c r="K18" s="6" t="s">
        <v>95</v>
      </c>
      <c r="L18" s="6" t="s">
        <v>219</v>
      </c>
      <c r="M18" s="6" t="s">
        <v>86</v>
      </c>
      <c r="N18" s="6" t="s">
        <v>220</v>
      </c>
      <c r="O18" s="6" t="s">
        <v>221</v>
      </c>
      <c r="P18" s="6" t="s">
        <v>222</v>
      </c>
      <c r="Q18" s="6" t="s">
        <v>223</v>
      </c>
      <c r="R18" s="6" t="s">
        <v>224</v>
      </c>
      <c r="S18" s="6" t="s">
        <v>214</v>
      </c>
    </row>
    <row r="19" spans="1:19" x14ac:dyDescent="0.25">
      <c r="A19" s="4" t="s">
        <v>225</v>
      </c>
      <c r="B19" s="4" t="s">
        <v>216</v>
      </c>
      <c r="C19" s="4" t="s">
        <v>226</v>
      </c>
      <c r="D19" s="4" t="s">
        <v>227</v>
      </c>
      <c r="E19" s="10" t="s">
        <v>81</v>
      </c>
      <c r="F19" s="4">
        <v>5</v>
      </c>
      <c r="G19" s="4" t="s">
        <v>45</v>
      </c>
      <c r="H19" s="4" t="s">
        <v>48</v>
      </c>
      <c r="I19" s="11" t="s">
        <v>105</v>
      </c>
      <c r="J19" s="4" t="s">
        <v>207</v>
      </c>
      <c r="K19" s="4" t="s">
        <v>84</v>
      </c>
      <c r="L19" s="4" t="s">
        <v>228</v>
      </c>
      <c r="M19" s="4" t="s">
        <v>86</v>
      </c>
      <c r="N19" s="4" t="s">
        <v>229</v>
      </c>
      <c r="O19" s="4" t="s">
        <v>230</v>
      </c>
      <c r="P19" s="4" t="s">
        <v>231</v>
      </c>
      <c r="Q19" s="4" t="s">
        <v>232</v>
      </c>
      <c r="R19" s="4" t="s">
        <v>233</v>
      </c>
      <c r="S19" s="4" t="s">
        <v>214</v>
      </c>
    </row>
    <row r="20" spans="1:19" x14ac:dyDescent="0.25">
      <c r="A20" s="6" t="s">
        <v>234</v>
      </c>
      <c r="B20" s="6" t="s">
        <v>235</v>
      </c>
      <c r="C20" s="6" t="s">
        <v>236</v>
      </c>
      <c r="D20" s="6" t="s">
        <v>237</v>
      </c>
      <c r="E20" s="10" t="s">
        <v>81</v>
      </c>
      <c r="F20" s="6">
        <v>8</v>
      </c>
      <c r="G20" s="6" t="s">
        <v>48</v>
      </c>
      <c r="H20" s="6" t="s">
        <v>48</v>
      </c>
      <c r="I20" s="6" t="s">
        <v>82</v>
      </c>
      <c r="J20" s="6" t="s">
        <v>196</v>
      </c>
      <c r="K20" s="6" t="s">
        <v>95</v>
      </c>
      <c r="L20" s="6" t="s">
        <v>238</v>
      </c>
      <c r="M20" s="6" t="s">
        <v>86</v>
      </c>
      <c r="N20" s="6" t="s">
        <v>239</v>
      </c>
      <c r="O20" s="6" t="s">
        <v>240</v>
      </c>
      <c r="P20" s="6" t="s">
        <v>241</v>
      </c>
      <c r="Q20" s="6" t="s">
        <v>242</v>
      </c>
      <c r="R20" s="6" t="s">
        <v>243</v>
      </c>
      <c r="S20" s="6" t="s">
        <v>44</v>
      </c>
    </row>
    <row r="21" spans="1:19" x14ac:dyDescent="0.25">
      <c r="A21" s="4" t="s">
        <v>244</v>
      </c>
      <c r="B21" s="4" t="s">
        <v>245</v>
      </c>
      <c r="C21" s="4" t="s">
        <v>246</v>
      </c>
      <c r="D21" s="4" t="s">
        <v>247</v>
      </c>
      <c r="E21" s="10" t="s">
        <v>81</v>
      </c>
      <c r="F21" s="4">
        <v>3</v>
      </c>
      <c r="G21" s="4" t="s">
        <v>47</v>
      </c>
      <c r="H21" s="4" t="s">
        <v>48</v>
      </c>
      <c r="I21" s="11" t="s">
        <v>105</v>
      </c>
      <c r="J21" s="4" t="s">
        <v>248</v>
      </c>
      <c r="K21" s="4" t="s">
        <v>249</v>
      </c>
      <c r="L21" s="4" t="s">
        <v>250</v>
      </c>
      <c r="M21" s="4" t="s">
        <v>251</v>
      </c>
      <c r="N21" s="4" t="s">
        <v>252</v>
      </c>
      <c r="O21" s="4" t="s">
        <v>253</v>
      </c>
      <c r="P21" s="4" t="s">
        <v>254</v>
      </c>
      <c r="Q21" s="4" t="s">
        <v>255</v>
      </c>
      <c r="R21" s="4" t="s">
        <v>256</v>
      </c>
      <c r="S21" s="4" t="s">
        <v>257</v>
      </c>
    </row>
    <row r="22" spans="1:19" x14ac:dyDescent="0.25">
      <c r="A22" s="6" t="s">
        <v>258</v>
      </c>
      <c r="B22" s="6" t="s">
        <v>193</v>
      </c>
      <c r="C22" s="6" t="s">
        <v>259</v>
      </c>
      <c r="D22" s="6" t="s">
        <v>260</v>
      </c>
      <c r="E22" s="10" t="s">
        <v>81</v>
      </c>
      <c r="F22" s="6">
        <v>8</v>
      </c>
      <c r="G22" s="6" t="s">
        <v>48</v>
      </c>
      <c r="H22" s="6" t="s">
        <v>48</v>
      </c>
      <c r="I22" s="6" t="s">
        <v>82</v>
      </c>
      <c r="J22" s="6" t="s">
        <v>248</v>
      </c>
      <c r="K22" s="6" t="s">
        <v>84</v>
      </c>
      <c r="L22" s="6" t="s">
        <v>261</v>
      </c>
      <c r="M22" s="6" t="s">
        <v>251</v>
      </c>
      <c r="N22" s="6" t="s">
        <v>262</v>
      </c>
      <c r="O22" s="6" t="s">
        <v>263</v>
      </c>
      <c r="P22" s="6" t="s">
        <v>264</v>
      </c>
      <c r="Q22" s="6" t="s">
        <v>265</v>
      </c>
      <c r="R22" s="6" t="s">
        <v>266</v>
      </c>
      <c r="S22" s="6" t="s">
        <v>267</v>
      </c>
    </row>
    <row r="23" spans="1:19" x14ac:dyDescent="0.25">
      <c r="A23" s="4" t="s">
        <v>268</v>
      </c>
      <c r="B23" s="4" t="s">
        <v>269</v>
      </c>
      <c r="C23" s="4" t="s">
        <v>270</v>
      </c>
      <c r="D23" s="4" t="s">
        <v>271</v>
      </c>
      <c r="E23" s="10" t="s">
        <v>81</v>
      </c>
      <c r="F23" s="4">
        <v>5</v>
      </c>
      <c r="G23" s="4" t="s">
        <v>50</v>
      </c>
      <c r="H23" s="4" t="s">
        <v>48</v>
      </c>
      <c r="I23" s="11" t="s">
        <v>105</v>
      </c>
      <c r="J23" s="4" t="s">
        <v>272</v>
      </c>
      <c r="K23" s="4" t="s">
        <v>249</v>
      </c>
      <c r="L23" s="4" t="s">
        <v>273</v>
      </c>
      <c r="M23" s="4" t="s">
        <v>251</v>
      </c>
      <c r="N23" s="4" t="s">
        <v>274</v>
      </c>
      <c r="O23" s="4" t="s">
        <v>275</v>
      </c>
      <c r="P23" s="4" t="s">
        <v>276</v>
      </c>
      <c r="Q23" s="4" t="s">
        <v>277</v>
      </c>
      <c r="R23" s="4" t="s">
        <v>278</v>
      </c>
      <c r="S23" s="4" t="s">
        <v>279</v>
      </c>
    </row>
    <row r="24" spans="1:19" x14ac:dyDescent="0.25">
      <c r="A24" s="6" t="s">
        <v>280</v>
      </c>
      <c r="B24" s="6" t="s">
        <v>281</v>
      </c>
      <c r="C24" s="6" t="s">
        <v>282</v>
      </c>
      <c r="D24" s="6" t="s">
        <v>283</v>
      </c>
      <c r="E24" s="10" t="s">
        <v>81</v>
      </c>
      <c r="F24" s="6">
        <v>5</v>
      </c>
      <c r="G24" s="6" t="s">
        <v>50</v>
      </c>
      <c r="H24" s="6" t="s">
        <v>48</v>
      </c>
      <c r="I24" s="11" t="s">
        <v>105</v>
      </c>
      <c r="J24" s="6" t="s">
        <v>272</v>
      </c>
      <c r="K24" s="6" t="s">
        <v>84</v>
      </c>
      <c r="L24" s="6" t="s">
        <v>284</v>
      </c>
      <c r="M24" s="6" t="s">
        <v>251</v>
      </c>
      <c r="N24" s="6" t="s">
        <v>285</v>
      </c>
      <c r="O24" s="6" t="s">
        <v>286</v>
      </c>
      <c r="P24" s="6" t="s">
        <v>287</v>
      </c>
      <c r="Q24" s="6" t="s">
        <v>288</v>
      </c>
      <c r="R24" s="6" t="s">
        <v>289</v>
      </c>
      <c r="S24" s="6" t="s">
        <v>279</v>
      </c>
    </row>
    <row r="25" spans="1:19" x14ac:dyDescent="0.25">
      <c r="A25" s="4" t="s">
        <v>290</v>
      </c>
      <c r="B25" s="4" t="s">
        <v>145</v>
      </c>
      <c r="C25" s="4" t="s">
        <v>291</v>
      </c>
      <c r="D25" s="4" t="s">
        <v>292</v>
      </c>
      <c r="E25" s="10" t="s">
        <v>81</v>
      </c>
      <c r="F25" s="4" t="s">
        <v>293</v>
      </c>
      <c r="G25" s="4" t="s">
        <v>47</v>
      </c>
      <c r="H25" s="4" t="s">
        <v>48</v>
      </c>
      <c r="I25" s="11" t="s">
        <v>105</v>
      </c>
      <c r="J25" s="4" t="s">
        <v>294</v>
      </c>
      <c r="K25" s="4" t="s">
        <v>84</v>
      </c>
      <c r="L25" s="4" t="s">
        <v>295</v>
      </c>
      <c r="M25" s="4" t="s">
        <v>86</v>
      </c>
      <c r="N25" s="4" t="s">
        <v>296</v>
      </c>
      <c r="O25" s="4" t="s">
        <v>297</v>
      </c>
      <c r="P25" s="4" t="s">
        <v>298</v>
      </c>
      <c r="Q25" s="4" t="s">
        <v>299</v>
      </c>
      <c r="R25" s="4" t="s">
        <v>300</v>
      </c>
      <c r="S25" s="4" t="s">
        <v>301</v>
      </c>
    </row>
    <row r="26" spans="1:19" x14ac:dyDescent="0.25">
      <c r="A26" s="6" t="s">
        <v>302</v>
      </c>
      <c r="B26" s="6" t="s">
        <v>165</v>
      </c>
      <c r="C26" s="6" t="s">
        <v>303</v>
      </c>
      <c r="D26" s="6" t="s">
        <v>304</v>
      </c>
      <c r="E26" s="10" t="s">
        <v>81</v>
      </c>
      <c r="F26" s="6" t="s">
        <v>293</v>
      </c>
      <c r="G26" s="6" t="s">
        <v>48</v>
      </c>
      <c r="H26" s="6" t="s">
        <v>48</v>
      </c>
      <c r="I26" s="6" t="s">
        <v>82</v>
      </c>
      <c r="J26" s="6" t="s">
        <v>305</v>
      </c>
      <c r="K26" s="6" t="s">
        <v>95</v>
      </c>
      <c r="L26" s="6" t="s">
        <v>306</v>
      </c>
      <c r="M26" s="6" t="s">
        <v>86</v>
      </c>
      <c r="N26" s="6" t="s">
        <v>307</v>
      </c>
      <c r="O26" s="6" t="s">
        <v>308</v>
      </c>
      <c r="P26" s="6" t="s">
        <v>309</v>
      </c>
      <c r="Q26" s="6" t="s">
        <v>310</v>
      </c>
      <c r="R26" s="6" t="s">
        <v>311</v>
      </c>
      <c r="S26" s="6" t="s">
        <v>44</v>
      </c>
    </row>
    <row r="27" spans="1:19" x14ac:dyDescent="0.25">
      <c r="A27" s="4" t="s">
        <v>312</v>
      </c>
      <c r="B27" s="4" t="s">
        <v>165</v>
      </c>
      <c r="C27" s="4" t="s">
        <v>313</v>
      </c>
      <c r="D27" s="4" t="s">
        <v>314</v>
      </c>
      <c r="E27" s="10" t="s">
        <v>81</v>
      </c>
      <c r="F27" s="4" t="s">
        <v>293</v>
      </c>
      <c r="G27" s="4" t="s">
        <v>48</v>
      </c>
      <c r="H27" s="4" t="s">
        <v>48</v>
      </c>
      <c r="I27" s="4" t="s">
        <v>82</v>
      </c>
      <c r="J27" s="4" t="s">
        <v>315</v>
      </c>
      <c r="K27" s="4" t="s">
        <v>95</v>
      </c>
      <c r="L27" s="4" t="s">
        <v>316</v>
      </c>
      <c r="M27" s="4" t="s">
        <v>86</v>
      </c>
      <c r="N27" s="4" t="s">
        <v>317</v>
      </c>
      <c r="O27" s="4" t="s">
        <v>318</v>
      </c>
      <c r="P27" s="4" t="s">
        <v>319</v>
      </c>
      <c r="Q27" s="4" t="s">
        <v>320</v>
      </c>
      <c r="R27" s="4" t="s">
        <v>321</v>
      </c>
      <c r="S27" s="4" t="s">
        <v>44</v>
      </c>
    </row>
    <row r="28" spans="1:19" x14ac:dyDescent="0.25">
      <c r="A28" s="6" t="s">
        <v>322</v>
      </c>
      <c r="B28" s="6" t="s">
        <v>323</v>
      </c>
      <c r="C28" s="6" t="s">
        <v>324</v>
      </c>
      <c r="D28" s="6" t="s">
        <v>325</v>
      </c>
      <c r="E28" s="10" t="s">
        <v>81</v>
      </c>
      <c r="F28" s="6" t="s">
        <v>293</v>
      </c>
      <c r="G28" s="6" t="s">
        <v>48</v>
      </c>
      <c r="H28" s="6" t="s">
        <v>48</v>
      </c>
      <c r="I28" s="6" t="s">
        <v>82</v>
      </c>
      <c r="J28" s="6" t="s">
        <v>315</v>
      </c>
      <c r="K28" s="6" t="s">
        <v>84</v>
      </c>
      <c r="L28" s="6" t="s">
        <v>326</v>
      </c>
      <c r="M28" s="6" t="s">
        <v>86</v>
      </c>
      <c r="N28" s="6" t="s">
        <v>327</v>
      </c>
      <c r="O28" s="6" t="s">
        <v>328</v>
      </c>
      <c r="P28" s="6" t="s">
        <v>329</v>
      </c>
      <c r="Q28" s="6" t="s">
        <v>330</v>
      </c>
      <c r="R28" s="6" t="s">
        <v>331</v>
      </c>
      <c r="S28" s="6" t="s">
        <v>44</v>
      </c>
    </row>
    <row r="29" spans="1:19" x14ac:dyDescent="0.25">
      <c r="A29" s="4" t="s">
        <v>332</v>
      </c>
      <c r="B29" s="4" t="s">
        <v>235</v>
      </c>
      <c r="C29" s="4" t="s">
        <v>333</v>
      </c>
      <c r="D29" s="4" t="s">
        <v>334</v>
      </c>
      <c r="E29" s="10" t="s">
        <v>81</v>
      </c>
      <c r="F29" s="4" t="s">
        <v>293</v>
      </c>
      <c r="G29" s="4" t="s">
        <v>50</v>
      </c>
      <c r="H29" s="4" t="s">
        <v>50</v>
      </c>
      <c r="I29" s="4" t="s">
        <v>82</v>
      </c>
      <c r="J29" s="4" t="s">
        <v>335</v>
      </c>
      <c r="K29" s="4" t="s">
        <v>95</v>
      </c>
      <c r="L29" s="4" t="s">
        <v>336</v>
      </c>
      <c r="M29" s="4" t="s">
        <v>86</v>
      </c>
      <c r="N29" s="4" t="s">
        <v>337</v>
      </c>
      <c r="O29" s="4" t="s">
        <v>338</v>
      </c>
      <c r="P29" s="4" t="s">
        <v>339</v>
      </c>
      <c r="Q29" s="4" t="s">
        <v>340</v>
      </c>
      <c r="R29" s="4" t="s">
        <v>341</v>
      </c>
      <c r="S29" s="4" t="s">
        <v>44</v>
      </c>
    </row>
    <row r="30" spans="1:19" x14ac:dyDescent="0.25">
      <c r="A30" s="6" t="s">
        <v>342</v>
      </c>
      <c r="B30" s="6" t="s">
        <v>102</v>
      </c>
      <c r="C30" s="6" t="s">
        <v>343</v>
      </c>
      <c r="D30" s="6" t="s">
        <v>344</v>
      </c>
      <c r="E30" s="10" t="s">
        <v>81</v>
      </c>
      <c r="F30" s="6" t="s">
        <v>293</v>
      </c>
      <c r="G30" s="6" t="s">
        <v>50</v>
      </c>
      <c r="H30" s="6" t="s">
        <v>50</v>
      </c>
      <c r="I30" s="6" t="s">
        <v>82</v>
      </c>
      <c r="J30" s="6" t="s">
        <v>335</v>
      </c>
      <c r="K30" s="6" t="s">
        <v>84</v>
      </c>
      <c r="L30" s="6" t="s">
        <v>107</v>
      </c>
      <c r="M30" s="6" t="s">
        <v>86</v>
      </c>
      <c r="N30" s="6" t="s">
        <v>345</v>
      </c>
      <c r="O30" s="6" t="s">
        <v>346</v>
      </c>
      <c r="P30" s="6" t="s">
        <v>347</v>
      </c>
      <c r="Q30" s="6" t="s">
        <v>348</v>
      </c>
      <c r="R30" s="6" t="s">
        <v>349</v>
      </c>
      <c r="S30" s="6" t="s">
        <v>44</v>
      </c>
    </row>
    <row r="31" spans="1:19" x14ac:dyDescent="0.25">
      <c r="A31" s="4" t="s">
        <v>350</v>
      </c>
      <c r="B31" s="4" t="s">
        <v>351</v>
      </c>
      <c r="C31" s="4" t="s">
        <v>352</v>
      </c>
      <c r="D31" s="4" t="s">
        <v>353</v>
      </c>
      <c r="E31" s="10" t="s">
        <v>81</v>
      </c>
      <c r="F31" s="4" t="s">
        <v>293</v>
      </c>
      <c r="G31" s="4" t="s">
        <v>50</v>
      </c>
      <c r="H31" s="4" t="s">
        <v>50</v>
      </c>
      <c r="I31" s="4" t="s">
        <v>82</v>
      </c>
      <c r="J31" s="4" t="s">
        <v>335</v>
      </c>
      <c r="K31" s="4" t="s">
        <v>84</v>
      </c>
      <c r="L31" s="4" t="s">
        <v>354</v>
      </c>
      <c r="M31" s="4" t="s">
        <v>251</v>
      </c>
      <c r="N31" s="4" t="s">
        <v>355</v>
      </c>
      <c r="O31" s="4" t="s">
        <v>356</v>
      </c>
      <c r="P31" s="4" t="s">
        <v>357</v>
      </c>
      <c r="Q31" s="4" t="s">
        <v>358</v>
      </c>
      <c r="R31" s="4" t="s">
        <v>359</v>
      </c>
      <c r="S31" s="4" t="s">
        <v>44</v>
      </c>
    </row>
    <row r="32" spans="1:19" x14ac:dyDescent="0.25">
      <c r="A32" s="6" t="s">
        <v>360</v>
      </c>
      <c r="B32" s="6" t="s">
        <v>351</v>
      </c>
      <c r="C32" s="6" t="s">
        <v>361</v>
      </c>
      <c r="D32" s="6" t="s">
        <v>362</v>
      </c>
      <c r="E32" s="10" t="s">
        <v>81</v>
      </c>
      <c r="F32" s="6" t="s">
        <v>293</v>
      </c>
      <c r="G32" s="6" t="s">
        <v>50</v>
      </c>
      <c r="H32" s="6" t="s">
        <v>50</v>
      </c>
      <c r="I32" s="6" t="s">
        <v>82</v>
      </c>
      <c r="J32" s="6" t="s">
        <v>335</v>
      </c>
      <c r="K32" s="6" t="s">
        <v>95</v>
      </c>
      <c r="L32" s="6" t="s">
        <v>363</v>
      </c>
      <c r="M32" s="6" t="s">
        <v>251</v>
      </c>
      <c r="N32" s="6" t="s">
        <v>364</v>
      </c>
      <c r="O32" s="6" t="s">
        <v>365</v>
      </c>
      <c r="P32" s="6" t="s">
        <v>366</v>
      </c>
      <c r="Q32" s="6" t="s">
        <v>367</v>
      </c>
      <c r="R32" s="6" t="s">
        <v>368</v>
      </c>
      <c r="S32" s="6" t="s">
        <v>44</v>
      </c>
    </row>
    <row r="33" spans="1:19" x14ac:dyDescent="0.25">
      <c r="A33" s="4" t="s">
        <v>369</v>
      </c>
      <c r="B33" s="4" t="s">
        <v>351</v>
      </c>
      <c r="C33" s="4" t="s">
        <v>370</v>
      </c>
      <c r="D33" s="4" t="s">
        <v>371</v>
      </c>
      <c r="E33" s="10" t="s">
        <v>81</v>
      </c>
      <c r="F33" s="4" t="s">
        <v>293</v>
      </c>
      <c r="G33" s="4" t="s">
        <v>50</v>
      </c>
      <c r="H33" s="4" t="s">
        <v>50</v>
      </c>
      <c r="I33" s="4" t="s">
        <v>82</v>
      </c>
      <c r="J33" s="4" t="s">
        <v>372</v>
      </c>
      <c r="K33" s="4" t="s">
        <v>84</v>
      </c>
      <c r="L33" s="4" t="s">
        <v>373</v>
      </c>
      <c r="M33" s="4" t="s">
        <v>251</v>
      </c>
      <c r="N33" s="4" t="s">
        <v>374</v>
      </c>
      <c r="O33" s="4" t="s">
        <v>375</v>
      </c>
      <c r="P33" s="4" t="s">
        <v>376</v>
      </c>
      <c r="Q33" s="4" t="s">
        <v>377</v>
      </c>
      <c r="R33" s="4" t="s">
        <v>378</v>
      </c>
      <c r="S33" s="4" t="s">
        <v>379</v>
      </c>
    </row>
    <row r="34" spans="1:19" x14ac:dyDescent="0.25">
      <c r="A34" s="6" t="s">
        <v>380</v>
      </c>
      <c r="B34" s="6" t="s">
        <v>351</v>
      </c>
      <c r="C34" s="6" t="s">
        <v>381</v>
      </c>
      <c r="D34" s="6" t="s">
        <v>382</v>
      </c>
      <c r="E34" s="10" t="s">
        <v>81</v>
      </c>
      <c r="F34" s="6" t="s">
        <v>293</v>
      </c>
      <c r="G34" s="6" t="s">
        <v>50</v>
      </c>
      <c r="H34" s="6" t="s">
        <v>50</v>
      </c>
      <c r="I34" s="6" t="s">
        <v>82</v>
      </c>
      <c r="J34" s="6" t="s">
        <v>372</v>
      </c>
      <c r="K34" s="6" t="s">
        <v>84</v>
      </c>
      <c r="L34" s="6" t="s">
        <v>383</v>
      </c>
      <c r="M34" s="6" t="s">
        <v>251</v>
      </c>
      <c r="N34" s="6" t="s">
        <v>384</v>
      </c>
      <c r="O34" s="6" t="s">
        <v>385</v>
      </c>
      <c r="P34" s="6" t="s">
        <v>386</v>
      </c>
      <c r="Q34" s="6" t="s">
        <v>387</v>
      </c>
      <c r="R34" s="6" t="s">
        <v>388</v>
      </c>
      <c r="S34" s="6" t="s">
        <v>389</v>
      </c>
    </row>
    <row r="35" spans="1:19" x14ac:dyDescent="0.25">
      <c r="A35" s="4" t="s">
        <v>390</v>
      </c>
      <c r="B35" s="4" t="s">
        <v>351</v>
      </c>
      <c r="C35" s="4" t="s">
        <v>391</v>
      </c>
      <c r="D35" s="4" t="s">
        <v>392</v>
      </c>
      <c r="E35" s="10" t="s">
        <v>81</v>
      </c>
      <c r="F35" s="4" t="s">
        <v>293</v>
      </c>
      <c r="G35" s="4" t="s">
        <v>50</v>
      </c>
      <c r="H35" s="4" t="s">
        <v>50</v>
      </c>
      <c r="I35" s="4" t="s">
        <v>82</v>
      </c>
      <c r="J35" s="4" t="s">
        <v>393</v>
      </c>
      <c r="K35" s="4" t="s">
        <v>84</v>
      </c>
      <c r="L35" s="4" t="s">
        <v>394</v>
      </c>
      <c r="M35" s="4" t="s">
        <v>251</v>
      </c>
      <c r="N35" s="4" t="s">
        <v>395</v>
      </c>
      <c r="O35" s="4" t="s">
        <v>396</v>
      </c>
      <c r="P35" s="4" t="s">
        <v>397</v>
      </c>
      <c r="Q35" s="4" t="s">
        <v>398</v>
      </c>
      <c r="R35" s="4" t="s">
        <v>399</v>
      </c>
      <c r="S35" s="4" t="s">
        <v>400</v>
      </c>
    </row>
    <row r="36" spans="1:19" x14ac:dyDescent="0.25">
      <c r="A36" s="6" t="s">
        <v>401</v>
      </c>
      <c r="B36" s="6" t="s">
        <v>351</v>
      </c>
      <c r="C36" s="6" t="s">
        <v>402</v>
      </c>
      <c r="D36" s="6" t="s">
        <v>403</v>
      </c>
      <c r="E36" s="10" t="s">
        <v>81</v>
      </c>
      <c r="F36" s="6" t="s">
        <v>293</v>
      </c>
      <c r="G36" s="6" t="s">
        <v>50</v>
      </c>
      <c r="H36" s="6" t="s">
        <v>50</v>
      </c>
      <c r="I36" s="6" t="s">
        <v>82</v>
      </c>
      <c r="J36" s="6" t="s">
        <v>404</v>
      </c>
      <c r="K36" s="6" t="s">
        <v>84</v>
      </c>
      <c r="L36" s="6" t="s">
        <v>405</v>
      </c>
      <c r="M36" s="6" t="s">
        <v>251</v>
      </c>
      <c r="N36" s="6" t="s">
        <v>406</v>
      </c>
      <c r="O36" s="6" t="s">
        <v>407</v>
      </c>
      <c r="P36" s="6" t="s">
        <v>408</v>
      </c>
      <c r="Q36" s="6" t="s">
        <v>409</v>
      </c>
      <c r="R36" s="6" t="s">
        <v>410</v>
      </c>
      <c r="S36" s="6" t="s">
        <v>411</v>
      </c>
    </row>
    <row r="37" spans="1:19" x14ac:dyDescent="0.25">
      <c r="A37" s="4" t="s">
        <v>412</v>
      </c>
      <c r="B37" s="4" t="s">
        <v>351</v>
      </c>
      <c r="C37" s="4" t="s">
        <v>413</v>
      </c>
      <c r="D37" s="4" t="s">
        <v>414</v>
      </c>
      <c r="E37" s="10" t="s">
        <v>81</v>
      </c>
      <c r="F37" s="4" t="s">
        <v>293</v>
      </c>
      <c r="G37" s="4" t="s">
        <v>50</v>
      </c>
      <c r="H37" s="4" t="s">
        <v>50</v>
      </c>
      <c r="I37" s="4" t="s">
        <v>82</v>
      </c>
      <c r="J37" s="4" t="s">
        <v>415</v>
      </c>
      <c r="K37" s="4" t="s">
        <v>84</v>
      </c>
      <c r="L37" s="4" t="s">
        <v>416</v>
      </c>
      <c r="M37" s="4" t="s">
        <v>251</v>
      </c>
      <c r="N37" s="4" t="s">
        <v>417</v>
      </c>
      <c r="O37" s="4" t="s">
        <v>418</v>
      </c>
      <c r="P37" s="4" t="s">
        <v>419</v>
      </c>
      <c r="Q37" s="4" t="s">
        <v>420</v>
      </c>
      <c r="R37" s="4" t="s">
        <v>421</v>
      </c>
      <c r="S37" s="4" t="s">
        <v>422</v>
      </c>
    </row>
    <row r="38" spans="1:19" x14ac:dyDescent="0.25">
      <c r="A38" s="6" t="s">
        <v>423</v>
      </c>
      <c r="B38" s="6" t="s">
        <v>351</v>
      </c>
      <c r="C38" s="6" t="s">
        <v>424</v>
      </c>
      <c r="D38" s="6" t="s">
        <v>425</v>
      </c>
      <c r="E38" s="10" t="s">
        <v>81</v>
      </c>
      <c r="F38" s="6" t="s">
        <v>293</v>
      </c>
      <c r="G38" s="6" t="s">
        <v>50</v>
      </c>
      <c r="H38" s="6" t="s">
        <v>50</v>
      </c>
      <c r="I38" s="6" t="s">
        <v>82</v>
      </c>
      <c r="J38" s="6" t="s">
        <v>415</v>
      </c>
      <c r="K38" s="6" t="s">
        <v>249</v>
      </c>
      <c r="L38" s="6" t="s">
        <v>426</v>
      </c>
      <c r="M38" s="6" t="s">
        <v>251</v>
      </c>
      <c r="N38" s="6" t="s">
        <v>427</v>
      </c>
      <c r="O38" s="6" t="s">
        <v>428</v>
      </c>
      <c r="P38" s="6" t="s">
        <v>429</v>
      </c>
      <c r="Q38" s="6" t="s">
        <v>430</v>
      </c>
      <c r="R38" s="6" t="s">
        <v>431</v>
      </c>
      <c r="S38" s="6" t="s">
        <v>44</v>
      </c>
    </row>
    <row r="39" spans="1:19" x14ac:dyDescent="0.25">
      <c r="A39" s="4" t="s">
        <v>432</v>
      </c>
      <c r="B39" s="4" t="s">
        <v>165</v>
      </c>
      <c r="C39" s="4" t="s">
        <v>433</v>
      </c>
      <c r="D39" s="4" t="s">
        <v>434</v>
      </c>
      <c r="E39" s="10" t="s">
        <v>81</v>
      </c>
      <c r="F39" s="4" t="s">
        <v>293</v>
      </c>
      <c r="G39" s="4" t="s">
        <v>50</v>
      </c>
      <c r="H39" s="4" t="s">
        <v>50</v>
      </c>
      <c r="I39" s="4" t="s">
        <v>82</v>
      </c>
      <c r="J39" s="4" t="s">
        <v>435</v>
      </c>
      <c r="K39" s="4" t="s">
        <v>249</v>
      </c>
      <c r="L39" s="4" t="s">
        <v>436</v>
      </c>
      <c r="M39" s="4" t="s">
        <v>251</v>
      </c>
      <c r="N39" s="4" t="s">
        <v>437</v>
      </c>
      <c r="O39" s="4" t="s">
        <v>438</v>
      </c>
      <c r="P39" s="4" t="s">
        <v>439</v>
      </c>
      <c r="Q39" s="4" t="s">
        <v>440</v>
      </c>
      <c r="R39" s="4" t="s">
        <v>441</v>
      </c>
      <c r="S39" s="4" t="s">
        <v>44</v>
      </c>
    </row>
    <row r="40" spans="1:19" x14ac:dyDescent="0.25">
      <c r="A40" s="6" t="s">
        <v>442</v>
      </c>
      <c r="B40" s="6" t="s">
        <v>351</v>
      </c>
      <c r="C40" s="6" t="s">
        <v>443</v>
      </c>
      <c r="D40" s="6" t="s">
        <v>444</v>
      </c>
      <c r="E40" s="10" t="s">
        <v>81</v>
      </c>
      <c r="F40" s="6" t="s">
        <v>293</v>
      </c>
      <c r="G40" s="6" t="s">
        <v>50</v>
      </c>
      <c r="H40" s="6" t="s">
        <v>50</v>
      </c>
      <c r="I40" s="6" t="s">
        <v>82</v>
      </c>
      <c r="J40" s="6" t="s">
        <v>435</v>
      </c>
      <c r="K40" s="6" t="s">
        <v>84</v>
      </c>
      <c r="L40" s="6" t="s">
        <v>445</v>
      </c>
      <c r="M40" s="6" t="s">
        <v>251</v>
      </c>
      <c r="N40" s="6" t="s">
        <v>446</v>
      </c>
      <c r="O40" s="6" t="s">
        <v>447</v>
      </c>
      <c r="P40" s="6" t="s">
        <v>448</v>
      </c>
      <c r="Q40" s="6" t="s">
        <v>449</v>
      </c>
      <c r="R40" s="6" t="s">
        <v>450</v>
      </c>
      <c r="S40" s="6" t="s">
        <v>44</v>
      </c>
    </row>
    <row r="41" spans="1:19" x14ac:dyDescent="0.25">
      <c r="A41" s="4" t="s">
        <v>451</v>
      </c>
      <c r="B41" s="4" t="s">
        <v>351</v>
      </c>
      <c r="C41" s="4" t="s">
        <v>452</v>
      </c>
      <c r="D41" s="4" t="s">
        <v>453</v>
      </c>
      <c r="E41" s="10" t="s">
        <v>81</v>
      </c>
      <c r="F41" s="4" t="s">
        <v>293</v>
      </c>
      <c r="G41" s="4" t="s">
        <v>50</v>
      </c>
      <c r="H41" s="4" t="s">
        <v>50</v>
      </c>
      <c r="I41" s="4" t="s">
        <v>82</v>
      </c>
      <c r="J41" s="4" t="s">
        <v>435</v>
      </c>
      <c r="K41" s="4" t="s">
        <v>249</v>
      </c>
      <c r="L41" s="4" t="s">
        <v>454</v>
      </c>
      <c r="M41" s="4" t="s">
        <v>251</v>
      </c>
      <c r="N41" s="4" t="s">
        <v>455</v>
      </c>
      <c r="O41" s="4" t="s">
        <v>456</v>
      </c>
      <c r="P41" s="4" t="s">
        <v>457</v>
      </c>
      <c r="Q41" s="4" t="s">
        <v>458</v>
      </c>
      <c r="R41" s="4" t="s">
        <v>459</v>
      </c>
      <c r="S41" s="4" t="s">
        <v>44</v>
      </c>
    </row>
    <row r="42" spans="1:19" x14ac:dyDescent="0.25">
      <c r="A42" s="6" t="s">
        <v>460</v>
      </c>
      <c r="B42" s="6" t="s">
        <v>351</v>
      </c>
      <c r="C42" s="6" t="s">
        <v>461</v>
      </c>
      <c r="D42" s="6" t="s">
        <v>462</v>
      </c>
      <c r="E42" s="10" t="s">
        <v>81</v>
      </c>
      <c r="F42" s="6" t="s">
        <v>293</v>
      </c>
      <c r="G42" s="6" t="s">
        <v>50</v>
      </c>
      <c r="H42" s="6" t="s">
        <v>50</v>
      </c>
      <c r="I42" s="6" t="s">
        <v>82</v>
      </c>
      <c r="J42" s="6" t="s">
        <v>463</v>
      </c>
      <c r="K42" s="6" t="s">
        <v>84</v>
      </c>
      <c r="L42" s="6" t="s">
        <v>464</v>
      </c>
      <c r="M42" s="6" t="s">
        <v>251</v>
      </c>
      <c r="N42" s="6" t="s">
        <v>465</v>
      </c>
      <c r="O42" s="6" t="s">
        <v>466</v>
      </c>
      <c r="P42" s="6" t="s">
        <v>467</v>
      </c>
      <c r="Q42" s="6" t="s">
        <v>468</v>
      </c>
      <c r="R42" s="6" t="s">
        <v>469</v>
      </c>
      <c r="S42" s="6" t="s">
        <v>44</v>
      </c>
    </row>
    <row r="43" spans="1:19" x14ac:dyDescent="0.25">
      <c r="A43" s="4" t="s">
        <v>470</v>
      </c>
      <c r="B43" s="4" t="s">
        <v>471</v>
      </c>
      <c r="C43" s="4" t="s">
        <v>472</v>
      </c>
      <c r="D43" s="4" t="s">
        <v>473</v>
      </c>
      <c r="E43" s="10" t="s">
        <v>81</v>
      </c>
      <c r="F43" s="4" t="s">
        <v>293</v>
      </c>
      <c r="G43" s="4" t="s">
        <v>51</v>
      </c>
      <c r="H43" s="4" t="s">
        <v>51</v>
      </c>
      <c r="I43" s="4" t="s">
        <v>82</v>
      </c>
      <c r="J43" s="4" t="s">
        <v>474</v>
      </c>
      <c r="K43" s="4" t="s">
        <v>84</v>
      </c>
      <c r="L43" s="4" t="s">
        <v>475</v>
      </c>
      <c r="M43" s="4" t="s">
        <v>251</v>
      </c>
      <c r="N43" s="4" t="s">
        <v>476</v>
      </c>
      <c r="O43" s="4" t="s">
        <v>477</v>
      </c>
      <c r="P43" s="4" t="s">
        <v>478</v>
      </c>
      <c r="Q43" s="4" t="s">
        <v>479</v>
      </c>
      <c r="R43" s="4" t="s">
        <v>480</v>
      </c>
      <c r="S43" s="4" t="s">
        <v>481</v>
      </c>
    </row>
    <row r="44" spans="1:19" x14ac:dyDescent="0.25">
      <c r="A44" s="6" t="s">
        <v>482</v>
      </c>
      <c r="B44" s="6" t="s">
        <v>471</v>
      </c>
      <c r="C44" s="6" t="s">
        <v>483</v>
      </c>
      <c r="D44" s="6" t="s">
        <v>484</v>
      </c>
      <c r="E44" s="10" t="s">
        <v>81</v>
      </c>
      <c r="F44" s="6" t="s">
        <v>293</v>
      </c>
      <c r="G44" s="6" t="s">
        <v>51</v>
      </c>
      <c r="H44" s="6" t="s">
        <v>51</v>
      </c>
      <c r="I44" s="6" t="s">
        <v>82</v>
      </c>
      <c r="J44" s="6" t="s">
        <v>485</v>
      </c>
      <c r="K44" s="6" t="s">
        <v>84</v>
      </c>
      <c r="L44" s="6" t="s">
        <v>486</v>
      </c>
      <c r="M44" s="6" t="s">
        <v>251</v>
      </c>
      <c r="N44" s="6" t="s">
        <v>487</v>
      </c>
      <c r="O44" s="6" t="s">
        <v>488</v>
      </c>
      <c r="P44" s="6" t="s">
        <v>489</v>
      </c>
      <c r="Q44" s="6" t="s">
        <v>490</v>
      </c>
      <c r="R44" s="6" t="s">
        <v>491</v>
      </c>
      <c r="S44" s="6" t="s">
        <v>492</v>
      </c>
    </row>
    <row r="45" spans="1:19" x14ac:dyDescent="0.25">
      <c r="A45" s="4" t="s">
        <v>493</v>
      </c>
      <c r="B45" s="4" t="s">
        <v>471</v>
      </c>
      <c r="C45" s="4" t="s">
        <v>494</v>
      </c>
      <c r="D45" s="4" t="s">
        <v>495</v>
      </c>
      <c r="E45" s="10" t="s">
        <v>81</v>
      </c>
      <c r="F45" s="4" t="s">
        <v>293</v>
      </c>
      <c r="G45" s="4" t="s">
        <v>51</v>
      </c>
      <c r="H45" s="4" t="s">
        <v>51</v>
      </c>
      <c r="I45" s="4" t="s">
        <v>82</v>
      </c>
      <c r="J45" s="4" t="s">
        <v>485</v>
      </c>
      <c r="K45" s="4" t="s">
        <v>249</v>
      </c>
      <c r="L45" s="4" t="s">
        <v>496</v>
      </c>
      <c r="M45" s="4" t="s">
        <v>251</v>
      </c>
      <c r="N45" s="4" t="s">
        <v>497</v>
      </c>
      <c r="O45" s="4" t="s">
        <v>498</v>
      </c>
      <c r="P45" s="4" t="s">
        <v>499</v>
      </c>
      <c r="Q45" s="4" t="s">
        <v>500</v>
      </c>
      <c r="R45" s="4" t="s">
        <v>501</v>
      </c>
      <c r="S45" s="4" t="s">
        <v>502</v>
      </c>
    </row>
    <row r="46" spans="1:19" x14ac:dyDescent="0.25">
      <c r="A46" s="6" t="s">
        <v>503</v>
      </c>
      <c r="B46" s="6" t="s">
        <v>471</v>
      </c>
      <c r="C46" s="6" t="s">
        <v>504</v>
      </c>
      <c r="D46" s="6" t="s">
        <v>505</v>
      </c>
      <c r="E46" s="10" t="s">
        <v>81</v>
      </c>
      <c r="F46" s="6" t="s">
        <v>293</v>
      </c>
      <c r="G46" s="6" t="s">
        <v>51</v>
      </c>
      <c r="H46" s="6" t="s">
        <v>51</v>
      </c>
      <c r="I46" s="6" t="s">
        <v>82</v>
      </c>
      <c r="J46" s="6" t="s">
        <v>506</v>
      </c>
      <c r="K46" s="6" t="s">
        <v>249</v>
      </c>
      <c r="L46" s="6" t="s">
        <v>507</v>
      </c>
      <c r="M46" s="6" t="s">
        <v>251</v>
      </c>
      <c r="N46" s="6" t="s">
        <v>508</v>
      </c>
      <c r="O46" s="6" t="s">
        <v>509</v>
      </c>
      <c r="P46" s="6" t="s">
        <v>510</v>
      </c>
      <c r="Q46" s="6" t="s">
        <v>511</v>
      </c>
      <c r="R46" s="6" t="s">
        <v>512</v>
      </c>
      <c r="S46" s="6" t="s">
        <v>513</v>
      </c>
    </row>
    <row r="47" spans="1:19" x14ac:dyDescent="0.25">
      <c r="A47" s="4" t="s">
        <v>514</v>
      </c>
      <c r="B47" s="4" t="s">
        <v>471</v>
      </c>
      <c r="C47" s="4" t="s">
        <v>515</v>
      </c>
      <c r="D47" s="4" t="s">
        <v>516</v>
      </c>
      <c r="E47" s="12" t="s">
        <v>517</v>
      </c>
      <c r="F47" s="4" t="s">
        <v>293</v>
      </c>
      <c r="G47" s="4" t="s">
        <v>51</v>
      </c>
      <c r="H47" s="4" t="s">
        <v>518</v>
      </c>
      <c r="I47" s="4" t="s">
        <v>519</v>
      </c>
      <c r="J47" s="4" t="s">
        <v>520</v>
      </c>
      <c r="K47" s="4" t="s">
        <v>249</v>
      </c>
      <c r="L47" s="4" t="s">
        <v>521</v>
      </c>
      <c r="M47" s="4" t="s">
        <v>522</v>
      </c>
      <c r="N47" s="4" t="s">
        <v>523</v>
      </c>
      <c r="O47" s="4" t="s">
        <v>524</v>
      </c>
      <c r="P47" s="4" t="s">
        <v>525</v>
      </c>
      <c r="Q47" s="4" t="s">
        <v>526</v>
      </c>
      <c r="R47" s="4" t="s">
        <v>527</v>
      </c>
      <c r="S47" s="4" t="s">
        <v>528</v>
      </c>
    </row>
    <row r="48" spans="1:19" x14ac:dyDescent="0.25">
      <c r="A48" s="6" t="s">
        <v>529</v>
      </c>
      <c r="B48" s="6" t="s">
        <v>471</v>
      </c>
      <c r="C48" s="6" t="s">
        <v>530</v>
      </c>
      <c r="D48" s="6" t="s">
        <v>531</v>
      </c>
      <c r="E48" s="10" t="s">
        <v>81</v>
      </c>
      <c r="F48" s="6" t="s">
        <v>293</v>
      </c>
      <c r="G48" s="6" t="s">
        <v>532</v>
      </c>
      <c r="H48" s="6" t="s">
        <v>53</v>
      </c>
      <c r="I48" s="11" t="s">
        <v>533</v>
      </c>
      <c r="J48" s="6" t="s">
        <v>534</v>
      </c>
      <c r="K48" s="6" t="s">
        <v>249</v>
      </c>
      <c r="L48" s="6" t="s">
        <v>535</v>
      </c>
      <c r="M48" s="6" t="s">
        <v>251</v>
      </c>
      <c r="N48" s="6" t="s">
        <v>536</v>
      </c>
      <c r="O48" s="6" t="s">
        <v>537</v>
      </c>
      <c r="P48" s="6" t="s">
        <v>538</v>
      </c>
      <c r="Q48" s="6" t="s">
        <v>539</v>
      </c>
      <c r="R48" s="6" t="s">
        <v>540</v>
      </c>
      <c r="S48" s="6" t="s">
        <v>541</v>
      </c>
    </row>
    <row r="49" spans="1:19" x14ac:dyDescent="0.25">
      <c r="A49" s="4" t="s">
        <v>542</v>
      </c>
      <c r="B49" s="4" t="s">
        <v>543</v>
      </c>
      <c r="C49" s="4" t="s">
        <v>544</v>
      </c>
      <c r="D49" s="4" t="s">
        <v>545</v>
      </c>
      <c r="E49" s="11" t="s">
        <v>546</v>
      </c>
      <c r="F49" s="4" t="s">
        <v>293</v>
      </c>
      <c r="G49" s="4" t="s">
        <v>53</v>
      </c>
      <c r="H49" s="4" t="s">
        <v>547</v>
      </c>
      <c r="I49" s="4" t="s">
        <v>548</v>
      </c>
      <c r="J49" s="4" t="s">
        <v>548</v>
      </c>
      <c r="K49" s="4" t="s">
        <v>95</v>
      </c>
      <c r="L49" s="4" t="s">
        <v>548</v>
      </c>
      <c r="M49" s="4" t="s">
        <v>549</v>
      </c>
      <c r="N49" s="4" t="s">
        <v>550</v>
      </c>
      <c r="O49" s="4" t="s">
        <v>551</v>
      </c>
      <c r="P49" s="4" t="s">
        <v>548</v>
      </c>
      <c r="Q49" s="4" t="s">
        <v>548</v>
      </c>
      <c r="R49" s="4" t="s">
        <v>44</v>
      </c>
      <c r="S49" s="4" t="s">
        <v>552</v>
      </c>
    </row>
    <row r="50" spans="1:19" x14ac:dyDescent="0.25">
      <c r="A50" s="6" t="s">
        <v>553</v>
      </c>
      <c r="B50" s="6" t="s">
        <v>543</v>
      </c>
      <c r="C50" s="6" t="s">
        <v>554</v>
      </c>
      <c r="D50" s="6" t="s">
        <v>554</v>
      </c>
      <c r="E50" s="11" t="s">
        <v>555</v>
      </c>
      <c r="F50" s="6" t="s">
        <v>293</v>
      </c>
      <c r="G50" s="6" t="s">
        <v>53</v>
      </c>
      <c r="H50" s="6" t="s">
        <v>547</v>
      </c>
      <c r="I50" s="6" t="s">
        <v>548</v>
      </c>
      <c r="J50" s="6" t="s">
        <v>548</v>
      </c>
      <c r="K50" s="6" t="s">
        <v>84</v>
      </c>
      <c r="L50" s="6" t="s">
        <v>548</v>
      </c>
      <c r="M50" s="6" t="s">
        <v>549</v>
      </c>
      <c r="N50" s="6" t="s">
        <v>556</v>
      </c>
      <c r="O50" s="6" t="s">
        <v>557</v>
      </c>
      <c r="P50" s="6" t="s">
        <v>548</v>
      </c>
      <c r="Q50" s="6" t="s">
        <v>548</v>
      </c>
      <c r="R50" s="6" t="s">
        <v>44</v>
      </c>
      <c r="S50" s="6" t="s">
        <v>558</v>
      </c>
    </row>
    <row r="51" spans="1:19" x14ac:dyDescent="0.25">
      <c r="A51" s="4" t="s">
        <v>559</v>
      </c>
      <c r="B51" s="4" t="s">
        <v>543</v>
      </c>
      <c r="C51" s="4" t="s">
        <v>560</v>
      </c>
      <c r="D51" s="4" t="s">
        <v>561</v>
      </c>
      <c r="E51" s="11" t="s">
        <v>555</v>
      </c>
      <c r="F51" s="4" t="s">
        <v>293</v>
      </c>
      <c r="G51" s="4" t="s">
        <v>53</v>
      </c>
      <c r="H51" s="4" t="s">
        <v>547</v>
      </c>
      <c r="I51" s="4" t="s">
        <v>548</v>
      </c>
      <c r="J51" s="4" t="s">
        <v>548</v>
      </c>
      <c r="K51" s="4" t="s">
        <v>84</v>
      </c>
      <c r="L51" s="4" t="s">
        <v>548</v>
      </c>
      <c r="M51" s="4" t="s">
        <v>549</v>
      </c>
      <c r="N51" s="4" t="s">
        <v>562</v>
      </c>
      <c r="O51" s="4" t="s">
        <v>563</v>
      </c>
      <c r="P51" s="4" t="s">
        <v>548</v>
      </c>
      <c r="Q51" s="4" t="s">
        <v>548</v>
      </c>
      <c r="R51" s="4" t="s">
        <v>44</v>
      </c>
      <c r="S51" s="4" t="s">
        <v>564</v>
      </c>
    </row>
    <row r="52" spans="1:19" x14ac:dyDescent="0.25">
      <c r="A52" s="6" t="s">
        <v>565</v>
      </c>
      <c r="B52" s="6" t="s">
        <v>543</v>
      </c>
      <c r="C52" s="6" t="s">
        <v>566</v>
      </c>
      <c r="D52" s="6" t="s">
        <v>566</v>
      </c>
      <c r="E52" s="11" t="s">
        <v>555</v>
      </c>
      <c r="F52" s="6" t="s">
        <v>293</v>
      </c>
      <c r="G52" s="6" t="s">
        <v>53</v>
      </c>
      <c r="H52" s="6" t="s">
        <v>547</v>
      </c>
      <c r="I52" s="6" t="s">
        <v>548</v>
      </c>
      <c r="J52" s="6" t="s">
        <v>548</v>
      </c>
      <c r="K52" s="6" t="s">
        <v>249</v>
      </c>
      <c r="L52" s="6" t="s">
        <v>548</v>
      </c>
      <c r="M52" s="6" t="s">
        <v>549</v>
      </c>
      <c r="N52" s="6" t="s">
        <v>567</v>
      </c>
      <c r="O52" s="6" t="s">
        <v>568</v>
      </c>
      <c r="P52" s="6" t="s">
        <v>548</v>
      </c>
      <c r="Q52" s="6" t="s">
        <v>548</v>
      </c>
      <c r="R52" s="6" t="s">
        <v>44</v>
      </c>
      <c r="S52" s="6" t="s">
        <v>569</v>
      </c>
    </row>
    <row r="53" spans="1:19" x14ac:dyDescent="0.25">
      <c r="A53" s="4" t="s">
        <v>570</v>
      </c>
      <c r="B53" s="4" t="s">
        <v>543</v>
      </c>
      <c r="C53" s="4" t="s">
        <v>571</v>
      </c>
      <c r="D53" s="4" t="s">
        <v>571</v>
      </c>
      <c r="E53" s="11" t="s">
        <v>555</v>
      </c>
      <c r="F53" s="4" t="s">
        <v>293</v>
      </c>
      <c r="G53" s="4" t="s">
        <v>53</v>
      </c>
      <c r="H53" s="4" t="s">
        <v>547</v>
      </c>
      <c r="I53" s="4" t="s">
        <v>548</v>
      </c>
      <c r="J53" s="4" t="s">
        <v>548</v>
      </c>
      <c r="K53" s="4" t="s">
        <v>249</v>
      </c>
      <c r="L53" s="4" t="s">
        <v>548</v>
      </c>
      <c r="M53" s="4" t="s">
        <v>549</v>
      </c>
      <c r="N53" s="4" t="s">
        <v>572</v>
      </c>
      <c r="O53" s="4" t="s">
        <v>573</v>
      </c>
      <c r="P53" s="4" t="s">
        <v>548</v>
      </c>
      <c r="Q53" s="4" t="s">
        <v>548</v>
      </c>
      <c r="R53" s="4" t="s">
        <v>44</v>
      </c>
      <c r="S53" s="4" t="s">
        <v>574</v>
      </c>
    </row>
    <row r="54" spans="1:19" x14ac:dyDescent="0.25">
      <c r="A54" s="6" t="s">
        <v>575</v>
      </c>
      <c r="B54" s="6" t="s">
        <v>543</v>
      </c>
      <c r="C54" s="6" t="s">
        <v>576</v>
      </c>
      <c r="D54" s="6" t="s">
        <v>576</v>
      </c>
      <c r="E54" s="11" t="s">
        <v>555</v>
      </c>
      <c r="F54" s="6" t="s">
        <v>293</v>
      </c>
      <c r="G54" s="6" t="s">
        <v>53</v>
      </c>
      <c r="H54" s="6" t="s">
        <v>547</v>
      </c>
      <c r="I54" s="6" t="s">
        <v>548</v>
      </c>
      <c r="J54" s="6" t="s">
        <v>548</v>
      </c>
      <c r="K54" s="6" t="s">
        <v>249</v>
      </c>
      <c r="L54" s="6" t="s">
        <v>548</v>
      </c>
      <c r="M54" s="6" t="s">
        <v>549</v>
      </c>
      <c r="N54" s="6" t="s">
        <v>577</v>
      </c>
      <c r="O54" s="6" t="s">
        <v>578</v>
      </c>
      <c r="P54" s="6" t="s">
        <v>548</v>
      </c>
      <c r="Q54" s="6" t="s">
        <v>548</v>
      </c>
      <c r="R54" s="6" t="s">
        <v>44</v>
      </c>
      <c r="S54" s="6" t="s">
        <v>579</v>
      </c>
    </row>
    <row r="55" spans="1:19" x14ac:dyDescent="0.25">
      <c r="A55" s="4" t="s">
        <v>580</v>
      </c>
      <c r="B55" s="4" t="s">
        <v>543</v>
      </c>
      <c r="C55" s="4" t="s">
        <v>581</v>
      </c>
      <c r="D55" s="4" t="s">
        <v>581</v>
      </c>
      <c r="E55" s="11" t="s">
        <v>555</v>
      </c>
      <c r="F55" s="4" t="s">
        <v>293</v>
      </c>
      <c r="G55" s="4" t="s">
        <v>53</v>
      </c>
      <c r="H55" s="4" t="s">
        <v>547</v>
      </c>
      <c r="I55" s="4" t="s">
        <v>548</v>
      </c>
      <c r="J55" s="4" t="s">
        <v>548</v>
      </c>
      <c r="K55" s="4" t="s">
        <v>249</v>
      </c>
      <c r="L55" s="4" t="s">
        <v>548</v>
      </c>
      <c r="M55" s="4" t="s">
        <v>549</v>
      </c>
      <c r="N55" s="4" t="s">
        <v>582</v>
      </c>
      <c r="O55" s="4" t="s">
        <v>583</v>
      </c>
      <c r="P55" s="4" t="s">
        <v>548</v>
      </c>
      <c r="Q55" s="4" t="s">
        <v>548</v>
      </c>
      <c r="R55" s="4" t="s">
        <v>44</v>
      </c>
      <c r="S55" s="4" t="s">
        <v>584</v>
      </c>
    </row>
    <row r="56" spans="1:19" x14ac:dyDescent="0.25">
      <c r="A56" s="6" t="s">
        <v>585</v>
      </c>
      <c r="B56" s="6" t="s">
        <v>543</v>
      </c>
      <c r="C56" s="6" t="s">
        <v>586</v>
      </c>
      <c r="D56" s="6" t="s">
        <v>586</v>
      </c>
      <c r="E56" s="11" t="s">
        <v>587</v>
      </c>
      <c r="F56" s="6" t="s">
        <v>293</v>
      </c>
      <c r="G56" s="6" t="s">
        <v>53</v>
      </c>
      <c r="H56" s="6" t="s">
        <v>588</v>
      </c>
      <c r="I56" s="6" t="s">
        <v>548</v>
      </c>
      <c r="J56" s="6" t="s">
        <v>548</v>
      </c>
      <c r="K56" s="6" t="s">
        <v>95</v>
      </c>
      <c r="L56" s="6" t="s">
        <v>548</v>
      </c>
      <c r="M56" s="6" t="s">
        <v>549</v>
      </c>
      <c r="N56" s="6" t="s">
        <v>589</v>
      </c>
      <c r="O56" s="6" t="s">
        <v>590</v>
      </c>
      <c r="P56" s="6" t="s">
        <v>548</v>
      </c>
      <c r="Q56" s="6" t="s">
        <v>548</v>
      </c>
      <c r="R56" s="6" t="s">
        <v>44</v>
      </c>
      <c r="S56" s="6" t="s">
        <v>591</v>
      </c>
    </row>
    <row r="57" spans="1:19" x14ac:dyDescent="0.25">
      <c r="A57" s="4" t="s">
        <v>592</v>
      </c>
      <c r="B57" s="4" t="s">
        <v>543</v>
      </c>
      <c r="C57" s="4" t="s">
        <v>593</v>
      </c>
      <c r="D57" s="4" t="s">
        <v>593</v>
      </c>
      <c r="E57" s="11" t="s">
        <v>555</v>
      </c>
      <c r="F57" s="4" t="s">
        <v>293</v>
      </c>
      <c r="G57" s="4" t="s">
        <v>53</v>
      </c>
      <c r="H57" s="4" t="s">
        <v>547</v>
      </c>
      <c r="I57" s="4" t="s">
        <v>548</v>
      </c>
      <c r="J57" s="4" t="s">
        <v>548</v>
      </c>
      <c r="K57" s="4" t="s">
        <v>84</v>
      </c>
      <c r="L57" s="4" t="s">
        <v>548</v>
      </c>
      <c r="M57" s="4" t="s">
        <v>549</v>
      </c>
      <c r="N57" s="4" t="s">
        <v>594</v>
      </c>
      <c r="O57" s="4" t="s">
        <v>595</v>
      </c>
      <c r="P57" s="4" t="s">
        <v>548</v>
      </c>
      <c r="Q57" s="4" t="s">
        <v>548</v>
      </c>
      <c r="R57" s="4" t="s">
        <v>44</v>
      </c>
      <c r="S57" s="4" t="s">
        <v>569</v>
      </c>
    </row>
    <row r="58" spans="1:19" x14ac:dyDescent="0.25">
      <c r="A58" s="6" t="s">
        <v>596</v>
      </c>
      <c r="B58" s="6" t="s">
        <v>543</v>
      </c>
      <c r="C58" s="6" t="s">
        <v>597</v>
      </c>
      <c r="D58" s="6" t="s">
        <v>597</v>
      </c>
      <c r="E58" s="11" t="s">
        <v>555</v>
      </c>
      <c r="F58" s="6" t="s">
        <v>293</v>
      </c>
      <c r="G58" s="6" t="s">
        <v>53</v>
      </c>
      <c r="H58" s="6" t="s">
        <v>547</v>
      </c>
      <c r="I58" s="6" t="s">
        <v>548</v>
      </c>
      <c r="J58" s="6" t="s">
        <v>548</v>
      </c>
      <c r="K58" s="6" t="s">
        <v>249</v>
      </c>
      <c r="L58" s="6" t="s">
        <v>548</v>
      </c>
      <c r="M58" s="6" t="s">
        <v>549</v>
      </c>
      <c r="N58" s="6" t="s">
        <v>598</v>
      </c>
      <c r="O58" s="6" t="s">
        <v>599</v>
      </c>
      <c r="P58" s="6" t="s">
        <v>548</v>
      </c>
      <c r="Q58" s="6" t="s">
        <v>548</v>
      </c>
      <c r="R58" s="6" t="s">
        <v>44</v>
      </c>
      <c r="S58" s="6" t="s">
        <v>600</v>
      </c>
    </row>
    <row r="60" ht="60" customHeight="1" spans="1:19" x14ac:dyDescent="0.25">
      <c r="A60" s="13" t="s">
        <v>601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</sheetData>
  <autoFilter ref="A4:S58"/>
  <mergeCells count="3">
    <mergeCell ref="A1:S1"/>
    <mergeCell ref="A2:S2"/>
    <mergeCell ref="A60:S60"/>
  </mergeCells>
  <pageMargins left="0.4" right="0.4" top="0.5" bottom="0.5" header="0.2" footer="0.2"/>
  <pageSetup paperSize="8" orientation="landscape" fitToWidth="1" fitToHeight="0"/>
  <headerFooter>
    <oddFooter>&amp;8CitaJusta · &amp;A ·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2" max="2" width="38" customWidth="1"/>
    <col min="3" max="3" width="60" customWidth="1"/>
    <col min="4" max="4" width="10" customWidth="1"/>
    <col min="5" max="6" width="14" customWidth="1"/>
  </cols>
  <sheetData>
    <row r="1" spans="1:6" x14ac:dyDescent="0.25">
      <c r="A1" s="1" t="s">
        <v>602</v>
      </c>
      <c r="B1" s="1"/>
      <c r="C1" s="1"/>
      <c r="D1" s="1"/>
      <c r="E1" s="1"/>
      <c r="F1" s="1"/>
    </row>
    <row r="2" ht="30" customHeight="1" spans="1:6" x14ac:dyDescent="0.25">
      <c r="A2" s="2" t="s">
        <v>603</v>
      </c>
      <c r="B2" s="2"/>
      <c r="C2" s="2"/>
      <c r="D2" s="2"/>
      <c r="E2" s="2"/>
      <c r="F2" s="2"/>
    </row>
    <row r="4" ht="32" customHeight="1" spans="1:6" x14ac:dyDescent="0.25">
      <c r="A4" s="3" t="s">
        <v>58</v>
      </c>
      <c r="B4" s="3" t="s">
        <v>59</v>
      </c>
      <c r="C4" s="3" t="s">
        <v>604</v>
      </c>
      <c r="D4" s="3" t="s">
        <v>605</v>
      </c>
      <c r="E4" s="3" t="s">
        <v>606</v>
      </c>
      <c r="F4" s="3" t="s">
        <v>607</v>
      </c>
    </row>
    <row r="5" spans="1:6" x14ac:dyDescent="0.25">
      <c r="A5" s="4" t="s">
        <v>608</v>
      </c>
      <c r="B5" s="4" t="s">
        <v>609</v>
      </c>
      <c r="C5" s="4" t="s">
        <v>610</v>
      </c>
      <c r="D5" s="4" t="s">
        <v>611</v>
      </c>
      <c r="E5" s="4">
        <f>COUNTIFS('Product Backlog'!B:B,"EP-01 Cuenta y acceso",'Product Backlog'!E:E,"Done")</f>
        <v>2</v>
      </c>
      <c r="F5" s="4">
        <f>COUNTIF('Product Backlog'!B:B,"EP-01 Cuenta y acceso")</f>
        <v>2</v>
      </c>
    </row>
    <row r="6" spans="1:6" x14ac:dyDescent="0.25">
      <c r="A6" s="6" t="s">
        <v>612</v>
      </c>
      <c r="B6" s="6" t="s">
        <v>613</v>
      </c>
      <c r="C6" s="6" t="s">
        <v>614</v>
      </c>
      <c r="D6" s="6" t="s">
        <v>611</v>
      </c>
      <c r="E6" s="6">
        <f>COUNTIFS('Product Backlog'!B:B,"EP-02 Citas",'Product Backlog'!E:E,"Done")</f>
        <v>5</v>
      </c>
      <c r="F6" s="6">
        <f>COUNTIF('Product Backlog'!B:B,"EP-02 Citas")</f>
        <v>5</v>
      </c>
    </row>
    <row r="7" spans="1:6" x14ac:dyDescent="0.25">
      <c r="A7" s="4" t="s">
        <v>615</v>
      </c>
      <c r="B7" s="4" t="s">
        <v>616</v>
      </c>
      <c r="C7" s="4" t="s">
        <v>617</v>
      </c>
      <c r="D7" s="4" t="s">
        <v>611</v>
      </c>
      <c r="E7" s="4">
        <f>COUNTIFS('Product Backlog'!B:B,"EP-03 Lista de espera",'Product Backlog'!E:E,"Done")</f>
        <v>3</v>
      </c>
      <c r="F7" s="4">
        <f>COUNTIF('Product Backlog'!B:B,"EP-03 Lista de espera")</f>
        <v>3</v>
      </c>
    </row>
    <row r="8" spans="1:6" x14ac:dyDescent="0.25">
      <c r="A8" s="6" t="s">
        <v>618</v>
      </c>
      <c r="B8" s="6" t="s">
        <v>619</v>
      </c>
      <c r="C8" s="6" t="s">
        <v>620</v>
      </c>
      <c r="D8" s="6" t="s">
        <v>611</v>
      </c>
      <c r="E8" s="6">
        <f>COUNTIFS('Product Backlog'!B:B,"EP-04 Agenda",'Product Backlog'!E:E,"Done")</f>
        <v>2</v>
      </c>
      <c r="F8" s="6">
        <f>COUNTIF('Product Backlog'!B:B,"EP-04 Agenda")</f>
        <v>2</v>
      </c>
    </row>
    <row r="9" spans="1:6" x14ac:dyDescent="0.25">
      <c r="A9" s="4" t="s">
        <v>621</v>
      </c>
      <c r="B9" s="4" t="s">
        <v>622</v>
      </c>
      <c r="C9" s="4" t="s">
        <v>623</v>
      </c>
      <c r="D9" s="4" t="s">
        <v>611</v>
      </c>
      <c r="E9" s="4">
        <f>COUNTIFS('Product Backlog'!B:B,"EP-05 Administración",'Product Backlog'!E:E,"Done")</f>
        <v>3</v>
      </c>
      <c r="F9" s="4">
        <f>COUNTIF('Product Backlog'!B:B,"EP-05 Administración")</f>
        <v>3</v>
      </c>
    </row>
    <row r="10" spans="1:6" x14ac:dyDescent="0.25">
      <c r="A10" s="6" t="s">
        <v>624</v>
      </c>
      <c r="B10" s="6" t="s">
        <v>625</v>
      </c>
      <c r="C10" s="6" t="s">
        <v>626</v>
      </c>
      <c r="D10" s="6" t="s">
        <v>611</v>
      </c>
      <c r="E10" s="6">
        <f>COUNTIFS('Product Backlog'!B:B,"EP-06 Reasignación",'Product Backlog'!E:E,"Done")</f>
        <v>2</v>
      </c>
      <c r="F10" s="6">
        <f>COUNTIF('Product Backlog'!B:B,"EP-06 Reasignación")</f>
        <v>2</v>
      </c>
    </row>
    <row r="11" spans="1:6" x14ac:dyDescent="0.25">
      <c r="A11" s="4" t="s">
        <v>627</v>
      </c>
      <c r="B11" s="4" t="s">
        <v>628</v>
      </c>
      <c r="C11" s="4" t="s">
        <v>629</v>
      </c>
      <c r="D11" s="4" t="s">
        <v>611</v>
      </c>
      <c r="E11" s="4">
        <f>COUNTIFS('Product Backlog'!B:B,"EP-07 Ofertas",'Product Backlog'!E:E,"Done")</f>
        <v>6</v>
      </c>
      <c r="F11" s="4">
        <f>COUNTIF('Product Backlog'!B:B,"EP-07 Ofertas")</f>
        <v>6</v>
      </c>
    </row>
    <row r="12" spans="1:6" x14ac:dyDescent="0.25">
      <c r="A12" s="6" t="s">
        <v>630</v>
      </c>
      <c r="B12" s="6" t="s">
        <v>631</v>
      </c>
      <c r="C12" s="6" t="s">
        <v>244</v>
      </c>
      <c r="D12" s="6" t="s">
        <v>632</v>
      </c>
      <c r="E12" s="6">
        <f>COUNTIFS('Product Backlog'!B:B,"EP-08 Operación",'Product Backlog'!E:E,"Done")</f>
        <v>1</v>
      </c>
      <c r="F12" s="6">
        <f>COUNTIF('Product Backlog'!B:B,"EP-08 Operación")</f>
        <v>1</v>
      </c>
    </row>
    <row r="13" spans="1:6" x14ac:dyDescent="0.25">
      <c r="A13" s="4" t="s">
        <v>633</v>
      </c>
      <c r="B13" s="4" t="s">
        <v>634</v>
      </c>
      <c r="C13" s="4" t="s">
        <v>268</v>
      </c>
      <c r="D13" s="4" t="s">
        <v>635</v>
      </c>
      <c r="E13" s="4">
        <f>COUNTIFS('Product Backlog'!B:B,"EP-09 Reportes",'Product Backlog'!E:E,"Done")</f>
        <v>1</v>
      </c>
      <c r="F13" s="4">
        <f>COUNTIF('Product Backlog'!B:B,"EP-09 Reportes")</f>
        <v>1</v>
      </c>
    </row>
    <row r="14" spans="1:6" x14ac:dyDescent="0.25">
      <c r="A14" s="6" t="s">
        <v>636</v>
      </c>
      <c r="B14" s="6" t="s">
        <v>637</v>
      </c>
      <c r="C14" s="6" t="s">
        <v>280</v>
      </c>
      <c r="D14" s="6" t="s">
        <v>632</v>
      </c>
      <c r="E14" s="6">
        <f>COUNTIFS('Product Backlog'!B:B,"EP-10 Auditoría",'Product Backlog'!E:E,"Done")</f>
        <v>1</v>
      </c>
      <c r="F14" s="6">
        <f>COUNTIF('Product Backlog'!B:B,"EP-10 Auditoría")</f>
        <v>1</v>
      </c>
    </row>
    <row r="15" spans="1:6" x14ac:dyDescent="0.25">
      <c r="A15" s="4" t="s">
        <v>638</v>
      </c>
      <c r="B15" s="4" t="s">
        <v>639</v>
      </c>
      <c r="C15" s="4" t="s">
        <v>322</v>
      </c>
      <c r="D15" s="4" t="s">
        <v>611</v>
      </c>
      <c r="E15" s="4">
        <f>COUNTIFS('Product Backlog'!B:B,"EP-11 Notificaciones",'Product Backlog'!E:E,"Done")</f>
        <v>1</v>
      </c>
      <c r="F15" s="4">
        <f>COUNTIF('Product Backlog'!B:B,"EP-11 Notificaciones")</f>
        <v>1</v>
      </c>
    </row>
    <row r="16" spans="1:6" x14ac:dyDescent="0.25">
      <c r="A16" s="6" t="s">
        <v>640</v>
      </c>
      <c r="B16" s="6" t="s">
        <v>641</v>
      </c>
      <c r="C16" s="6" t="s">
        <v>642</v>
      </c>
      <c r="D16" s="6" t="s">
        <v>611</v>
      </c>
      <c r="E16" s="6">
        <f>COUNTIFS('Product Backlog'!B:B,"EP-12 Desktop institucional",'Product Backlog'!E:E,"Done")</f>
        <v>11</v>
      </c>
      <c r="F16" s="6">
        <f>COUNTIF('Product Backlog'!B:B,"EP-12 Desktop institucional")</f>
        <v>11</v>
      </c>
    </row>
    <row r="17" spans="1:6" x14ac:dyDescent="0.25">
      <c r="A17" s="4" t="s">
        <v>643</v>
      </c>
      <c r="B17" s="4" t="s">
        <v>644</v>
      </c>
      <c r="C17" s="4" t="s">
        <v>645</v>
      </c>
      <c r="D17" s="4" t="s">
        <v>632</v>
      </c>
      <c r="E17" s="4">
        <f>COUNTIFS('Product Backlog'!B:B,"EP-13 Integraciones externas",'Product Backlog'!E:E,"Done")</f>
        <v>5</v>
      </c>
      <c r="F17" s="4">
        <f>COUNTIF('Product Backlog'!B:B,"EP-13 Integraciones externas")</f>
        <v>6</v>
      </c>
    </row>
    <row r="18" spans="1:6" x14ac:dyDescent="0.25">
      <c r="A18" s="6" t="s">
        <v>646</v>
      </c>
      <c r="B18" s="6" t="s">
        <v>647</v>
      </c>
      <c r="C18" s="6" t="s">
        <v>648</v>
      </c>
      <c r="D18" s="6" t="s">
        <v>611</v>
      </c>
      <c r="E18" s="6">
        <f>COUNTIFS('Product Backlog'!B:B,"EP-14 Cierre técnico y calidad (nueva en v2.0)",'Product Backlog'!E:E,"Done")</f>
        <v>0</v>
      </c>
      <c r="F18" s="6">
        <f>COUNTIF('Product Backlog'!B:B,"EP-14 Cierre técnico y calidad (nueva en v2.0)")</f>
        <v>10</v>
      </c>
    </row>
  </sheetData>
  <autoFilter ref="A4:F18"/>
  <mergeCells count="2">
    <mergeCell ref="A1:F1"/>
    <mergeCell ref="A2:F2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6" customWidth="1"/>
    <col min="4" max="4" width="40" customWidth="1"/>
    <col min="5" max="5" width="48" customWidth="1"/>
    <col min="6" max="6" width="30" customWidth="1"/>
    <col min="7" max="7" width="40" customWidth="1"/>
  </cols>
  <sheetData>
    <row r="1" spans="1:7" x14ac:dyDescent="0.25">
      <c r="A1" s="1" t="s">
        <v>649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650</v>
      </c>
      <c r="B2" s="2"/>
      <c r="C2" s="2"/>
      <c r="D2" s="2"/>
      <c r="E2" s="2"/>
      <c r="F2" s="2"/>
      <c r="G2" s="2"/>
    </row>
    <row r="4" ht="32" customHeight="1" spans="1:7" x14ac:dyDescent="0.25">
      <c r="A4" s="3" t="s">
        <v>651</v>
      </c>
      <c r="B4" s="3" t="s">
        <v>652</v>
      </c>
      <c r="C4" s="3" t="s">
        <v>653</v>
      </c>
      <c r="D4" s="3" t="s">
        <v>654</v>
      </c>
      <c r="E4" s="3" t="s">
        <v>655</v>
      </c>
      <c r="F4" s="3" t="s">
        <v>656</v>
      </c>
      <c r="G4" s="3" t="s">
        <v>555</v>
      </c>
    </row>
    <row r="5" spans="1:7" x14ac:dyDescent="0.25">
      <c r="A5" s="4">
        <v>1</v>
      </c>
      <c r="B5" s="4" t="s">
        <v>657</v>
      </c>
      <c r="C5" s="4" t="s">
        <v>658</v>
      </c>
      <c r="D5" s="4" t="s">
        <v>659</v>
      </c>
      <c r="E5" s="4" t="s">
        <v>660</v>
      </c>
      <c r="F5" s="4" t="s">
        <v>661</v>
      </c>
      <c r="G5" s="4" t="s">
        <v>662</v>
      </c>
    </row>
    <row r="6" spans="1:7" x14ac:dyDescent="0.25">
      <c r="A6" s="6">
        <v>2</v>
      </c>
      <c r="B6" s="6" t="s">
        <v>663</v>
      </c>
      <c r="C6" s="6" t="s">
        <v>664</v>
      </c>
      <c r="D6" s="6" t="s">
        <v>665</v>
      </c>
      <c r="E6" s="6" t="s">
        <v>666</v>
      </c>
      <c r="F6" s="6" t="s">
        <v>667</v>
      </c>
      <c r="G6" s="6" t="s">
        <v>668</v>
      </c>
    </row>
    <row r="7" spans="1:7" x14ac:dyDescent="0.25">
      <c r="A7" s="4">
        <v>3</v>
      </c>
      <c r="B7" s="4" t="s">
        <v>669</v>
      </c>
      <c r="C7" s="4" t="s">
        <v>670</v>
      </c>
      <c r="D7" s="4" t="s">
        <v>671</v>
      </c>
      <c r="E7" s="4" t="s">
        <v>672</v>
      </c>
      <c r="F7" s="4" t="s">
        <v>667</v>
      </c>
      <c r="G7" s="4" t="s">
        <v>673</v>
      </c>
    </row>
    <row r="8" spans="1:7" x14ac:dyDescent="0.25">
      <c r="A8" s="6">
        <v>4</v>
      </c>
      <c r="B8" s="6" t="s">
        <v>674</v>
      </c>
      <c r="C8" s="6" t="s">
        <v>675</v>
      </c>
      <c r="D8" s="6" t="s">
        <v>676</v>
      </c>
      <c r="E8" s="6" t="s">
        <v>677</v>
      </c>
      <c r="F8" s="6" t="s">
        <v>678</v>
      </c>
      <c r="G8" s="6" t="s">
        <v>679</v>
      </c>
    </row>
    <row r="9" spans="1:7" x14ac:dyDescent="0.25">
      <c r="A9" s="4">
        <v>5</v>
      </c>
      <c r="B9" s="4" t="s">
        <v>680</v>
      </c>
      <c r="C9" s="4" t="s">
        <v>681</v>
      </c>
      <c r="D9" s="4" t="s">
        <v>682</v>
      </c>
      <c r="E9" s="4" t="s">
        <v>683</v>
      </c>
      <c r="F9" s="4" t="s">
        <v>684</v>
      </c>
      <c r="G9" s="4" t="s">
        <v>685</v>
      </c>
    </row>
    <row r="10" spans="1:7" x14ac:dyDescent="0.25">
      <c r="A10" s="6">
        <v>6</v>
      </c>
      <c r="B10" s="6" t="s">
        <v>680</v>
      </c>
      <c r="C10" s="6" t="s">
        <v>686</v>
      </c>
      <c r="D10" s="6" t="s">
        <v>687</v>
      </c>
      <c r="E10" s="6" t="s">
        <v>688</v>
      </c>
      <c r="F10" s="6" t="s">
        <v>689</v>
      </c>
      <c r="G10" s="6" t="s">
        <v>690</v>
      </c>
    </row>
    <row r="11" spans="1:7" x14ac:dyDescent="0.25">
      <c r="A11" s="4">
        <v>7</v>
      </c>
      <c r="B11" s="4" t="s">
        <v>680</v>
      </c>
      <c r="C11" s="4" t="s">
        <v>691</v>
      </c>
      <c r="D11" s="4" t="s">
        <v>692</v>
      </c>
      <c r="E11" s="4" t="s">
        <v>693</v>
      </c>
      <c r="F11" s="4" t="s">
        <v>694</v>
      </c>
      <c r="G11" s="4" t="s">
        <v>695</v>
      </c>
    </row>
  </sheetData>
  <autoFilter ref="A4:G11"/>
  <mergeCells count="2">
    <mergeCell ref="A1:G1"/>
    <mergeCell ref="A2:G2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30" customWidth="1"/>
    <col min="4" max="4" width="20" customWidth="1"/>
    <col min="5" max="5" width="60" customWidth="1"/>
    <col min="6" max="6" width="30" customWidth="1"/>
  </cols>
  <sheetData>
    <row r="1" spans="1:6" x14ac:dyDescent="0.25">
      <c r="A1" s="1" t="s">
        <v>696</v>
      </c>
      <c r="B1" s="1"/>
      <c r="C1" s="1"/>
      <c r="D1" s="1"/>
      <c r="E1" s="1"/>
      <c r="F1" s="1"/>
    </row>
    <row r="2" ht="30" customHeight="1" spans="1:6" x14ac:dyDescent="0.25">
      <c r="A2" s="2" t="s">
        <v>697</v>
      </c>
      <c r="B2" s="2"/>
      <c r="C2" s="2"/>
      <c r="D2" s="2"/>
      <c r="E2" s="2"/>
      <c r="F2" s="2"/>
    </row>
    <row r="4" ht="32" customHeight="1" spans="1:6" x14ac:dyDescent="0.25">
      <c r="A4" s="3" t="s">
        <v>69</v>
      </c>
      <c r="B4" s="3" t="s">
        <v>698</v>
      </c>
      <c r="C4" s="3" t="s">
        <v>699</v>
      </c>
      <c r="D4" s="3" t="s">
        <v>73</v>
      </c>
      <c r="E4" s="3" t="s">
        <v>700</v>
      </c>
      <c r="F4" s="3" t="s">
        <v>701</v>
      </c>
    </row>
    <row r="5" spans="1:6" x14ac:dyDescent="0.25">
      <c r="A5" s="4" t="s">
        <v>85</v>
      </c>
      <c r="B5" s="4" t="s">
        <v>702</v>
      </c>
      <c r="C5" s="4" t="s">
        <v>77</v>
      </c>
      <c r="D5" s="4" t="s">
        <v>89</v>
      </c>
      <c r="E5" s="4" t="s">
        <v>703</v>
      </c>
      <c r="F5" s="4" t="s">
        <v>704</v>
      </c>
    </row>
    <row r="6" spans="1:6" x14ac:dyDescent="0.25">
      <c r="A6" s="6" t="s">
        <v>96</v>
      </c>
      <c r="B6" s="6" t="s">
        <v>705</v>
      </c>
      <c r="C6" s="6" t="s">
        <v>706</v>
      </c>
      <c r="D6" s="6" t="s">
        <v>707</v>
      </c>
      <c r="E6" s="6" t="s">
        <v>708</v>
      </c>
      <c r="F6" s="6" t="s">
        <v>704</v>
      </c>
    </row>
    <row r="7" spans="1:6" x14ac:dyDescent="0.25">
      <c r="A7" s="12" t="s">
        <v>709</v>
      </c>
      <c r="B7" s="12" t="s">
        <v>710</v>
      </c>
      <c r="C7" s="12" t="s">
        <v>548</v>
      </c>
      <c r="D7" s="12" t="s">
        <v>548</v>
      </c>
      <c r="E7" s="12" t="s">
        <v>548</v>
      </c>
      <c r="F7" s="12" t="s">
        <v>711</v>
      </c>
    </row>
    <row r="8" spans="1:6" x14ac:dyDescent="0.25">
      <c r="A8" s="11" t="s">
        <v>712</v>
      </c>
      <c r="B8" s="11" t="s">
        <v>713</v>
      </c>
      <c r="C8" s="11" t="s">
        <v>714</v>
      </c>
      <c r="D8" s="11" t="s">
        <v>715</v>
      </c>
      <c r="E8" s="11" t="s">
        <v>716</v>
      </c>
      <c r="F8" s="11" t="s">
        <v>717</v>
      </c>
    </row>
    <row r="9" spans="1:6" x14ac:dyDescent="0.25">
      <c r="A9" s="11" t="s">
        <v>718</v>
      </c>
      <c r="B9" s="11" t="s">
        <v>719</v>
      </c>
      <c r="C9" s="11" t="s">
        <v>192</v>
      </c>
      <c r="D9" s="11" t="s">
        <v>200</v>
      </c>
      <c r="E9" s="11" t="s">
        <v>720</v>
      </c>
      <c r="F9" s="11" t="s">
        <v>721</v>
      </c>
    </row>
    <row r="10" spans="1:6" x14ac:dyDescent="0.25">
      <c r="A10" s="6" t="s">
        <v>722</v>
      </c>
      <c r="B10" s="6" t="s">
        <v>723</v>
      </c>
      <c r="C10" s="6" t="s">
        <v>724</v>
      </c>
      <c r="D10" s="6" t="s">
        <v>725</v>
      </c>
      <c r="E10" s="6" t="s">
        <v>726</v>
      </c>
      <c r="F10" s="6" t="s">
        <v>704</v>
      </c>
    </row>
    <row r="11" spans="1:6" x14ac:dyDescent="0.25">
      <c r="A11" s="4" t="s">
        <v>727</v>
      </c>
      <c r="B11" s="4" t="s">
        <v>728</v>
      </c>
      <c r="C11" s="4" t="s">
        <v>724</v>
      </c>
      <c r="D11" s="4" t="s">
        <v>725</v>
      </c>
      <c r="E11" s="4" t="s">
        <v>729</v>
      </c>
      <c r="F11" s="4" t="s">
        <v>704</v>
      </c>
    </row>
    <row r="12" spans="1:6" x14ac:dyDescent="0.25">
      <c r="A12" s="6" t="s">
        <v>208</v>
      </c>
      <c r="B12" s="6" t="s">
        <v>730</v>
      </c>
      <c r="C12" s="6" t="s">
        <v>731</v>
      </c>
      <c r="D12" s="6" t="s">
        <v>732</v>
      </c>
      <c r="E12" s="6" t="s">
        <v>733</v>
      </c>
      <c r="F12" s="6" t="s">
        <v>704</v>
      </c>
    </row>
    <row r="13" spans="1:6" x14ac:dyDescent="0.25">
      <c r="A13" s="4" t="s">
        <v>219</v>
      </c>
      <c r="B13" s="4" t="s">
        <v>734</v>
      </c>
      <c r="C13" s="4" t="s">
        <v>735</v>
      </c>
      <c r="D13" s="4" t="s">
        <v>736</v>
      </c>
      <c r="E13" s="4" t="s">
        <v>737</v>
      </c>
      <c r="F13" s="4" t="s">
        <v>738</v>
      </c>
    </row>
    <row r="14" spans="1:6" x14ac:dyDescent="0.25">
      <c r="A14" s="6" t="s">
        <v>228</v>
      </c>
      <c r="B14" s="6" t="s">
        <v>739</v>
      </c>
      <c r="C14" s="6" t="s">
        <v>740</v>
      </c>
      <c r="D14" s="6" t="s">
        <v>741</v>
      </c>
      <c r="E14" s="6" t="s">
        <v>742</v>
      </c>
      <c r="F14" s="6" t="s">
        <v>704</v>
      </c>
    </row>
    <row r="15" spans="1:6" x14ac:dyDescent="0.25">
      <c r="A15" s="4" t="s">
        <v>107</v>
      </c>
      <c r="B15" s="4" t="s">
        <v>743</v>
      </c>
      <c r="C15" s="4" t="s">
        <v>744</v>
      </c>
      <c r="D15" s="4" t="s">
        <v>745</v>
      </c>
      <c r="E15" s="4" t="s">
        <v>746</v>
      </c>
      <c r="F15" s="4" t="s">
        <v>704</v>
      </c>
    </row>
    <row r="16" spans="1:6" x14ac:dyDescent="0.25">
      <c r="A16" s="6" t="s">
        <v>118</v>
      </c>
      <c r="B16" s="6" t="s">
        <v>747</v>
      </c>
      <c r="C16" s="6" t="s">
        <v>114</v>
      </c>
      <c r="D16" s="6" t="s">
        <v>121</v>
      </c>
      <c r="E16" s="6" t="s">
        <v>748</v>
      </c>
      <c r="F16" s="6" t="s">
        <v>704</v>
      </c>
    </row>
    <row r="17" spans="1:6" x14ac:dyDescent="0.25">
      <c r="A17" s="4" t="s">
        <v>128</v>
      </c>
      <c r="B17" s="4" t="s">
        <v>749</v>
      </c>
      <c r="C17" s="4" t="s">
        <v>124</v>
      </c>
      <c r="D17" s="4" t="s">
        <v>750</v>
      </c>
      <c r="E17" s="4" t="s">
        <v>751</v>
      </c>
      <c r="F17" s="4" t="s">
        <v>704</v>
      </c>
    </row>
    <row r="18" spans="1:6" x14ac:dyDescent="0.25">
      <c r="A18" s="6" t="s">
        <v>138</v>
      </c>
      <c r="B18" s="6" t="s">
        <v>752</v>
      </c>
      <c r="C18" s="6" t="s">
        <v>135</v>
      </c>
      <c r="D18" s="6" t="s">
        <v>141</v>
      </c>
      <c r="E18" s="6" t="s">
        <v>753</v>
      </c>
      <c r="F18" s="6" t="s">
        <v>704</v>
      </c>
    </row>
    <row r="19" spans="1:6" x14ac:dyDescent="0.25">
      <c r="A19" s="12" t="s">
        <v>754</v>
      </c>
      <c r="B19" s="12" t="s">
        <v>755</v>
      </c>
      <c r="C19" s="12" t="s">
        <v>548</v>
      </c>
      <c r="D19" s="12" t="s">
        <v>548</v>
      </c>
      <c r="E19" s="12" t="s">
        <v>548</v>
      </c>
      <c r="F19" s="12" t="s">
        <v>711</v>
      </c>
    </row>
    <row r="20" spans="1:6" x14ac:dyDescent="0.25">
      <c r="A20" s="6" t="s">
        <v>250</v>
      </c>
      <c r="B20" s="6" t="s">
        <v>756</v>
      </c>
      <c r="C20" s="6" t="s">
        <v>757</v>
      </c>
      <c r="D20" s="6" t="s">
        <v>758</v>
      </c>
      <c r="E20" s="6" t="s">
        <v>759</v>
      </c>
      <c r="F20" s="6" t="s">
        <v>704</v>
      </c>
    </row>
    <row r="21" spans="1:6" x14ac:dyDescent="0.25">
      <c r="A21" s="4" t="s">
        <v>760</v>
      </c>
      <c r="B21" s="4" t="s">
        <v>761</v>
      </c>
      <c r="C21" s="4" t="s">
        <v>617</v>
      </c>
      <c r="D21" s="4" t="s">
        <v>762</v>
      </c>
      <c r="E21" s="4" t="s">
        <v>763</v>
      </c>
      <c r="F21" s="4" t="s">
        <v>704</v>
      </c>
    </row>
    <row r="22" spans="1:6" x14ac:dyDescent="0.25">
      <c r="A22" s="6" t="s">
        <v>764</v>
      </c>
      <c r="B22" s="6" t="s">
        <v>765</v>
      </c>
      <c r="C22" s="6" t="s">
        <v>766</v>
      </c>
      <c r="D22" s="6" t="s">
        <v>767</v>
      </c>
      <c r="E22" s="6" t="s">
        <v>768</v>
      </c>
      <c r="F22" s="6" t="s">
        <v>704</v>
      </c>
    </row>
    <row r="23" spans="1:6" x14ac:dyDescent="0.25">
      <c r="A23" s="4" t="s">
        <v>769</v>
      </c>
      <c r="B23" s="4" t="s">
        <v>770</v>
      </c>
      <c r="C23" s="4" t="s">
        <v>771</v>
      </c>
      <c r="D23" s="4" t="s">
        <v>772</v>
      </c>
      <c r="E23" s="4" t="s">
        <v>773</v>
      </c>
      <c r="F23" s="4" t="s">
        <v>704</v>
      </c>
    </row>
    <row r="24" spans="1:6" x14ac:dyDescent="0.25">
      <c r="A24" s="6" t="s">
        <v>186</v>
      </c>
      <c r="B24" s="6" t="s">
        <v>774</v>
      </c>
      <c r="C24" s="6" t="s">
        <v>775</v>
      </c>
      <c r="D24" s="6" t="s">
        <v>776</v>
      </c>
      <c r="E24" s="6" t="s">
        <v>777</v>
      </c>
      <c r="F24" s="6" t="s">
        <v>704</v>
      </c>
    </row>
    <row r="25" spans="1:6" x14ac:dyDescent="0.25">
      <c r="A25" s="4" t="s">
        <v>778</v>
      </c>
      <c r="B25" s="4" t="s">
        <v>779</v>
      </c>
      <c r="C25" s="4" t="s">
        <v>312</v>
      </c>
      <c r="D25" s="4" t="s">
        <v>319</v>
      </c>
      <c r="E25" s="4" t="s">
        <v>780</v>
      </c>
      <c r="F25" s="4" t="s">
        <v>704</v>
      </c>
    </row>
    <row r="26" spans="1:6" x14ac:dyDescent="0.25">
      <c r="A26" s="11" t="s">
        <v>238</v>
      </c>
      <c r="B26" s="11" t="s">
        <v>781</v>
      </c>
      <c r="C26" s="11" t="s">
        <v>782</v>
      </c>
      <c r="D26" s="11" t="s">
        <v>783</v>
      </c>
      <c r="E26" s="11" t="s">
        <v>784</v>
      </c>
      <c r="F26" s="11" t="s">
        <v>785</v>
      </c>
    </row>
    <row r="27" spans="1:6" x14ac:dyDescent="0.25">
      <c r="A27" s="4" t="s">
        <v>326</v>
      </c>
      <c r="B27" s="4" t="s">
        <v>786</v>
      </c>
      <c r="C27" s="4" t="s">
        <v>322</v>
      </c>
      <c r="D27" s="4" t="s">
        <v>329</v>
      </c>
      <c r="E27" s="4" t="s">
        <v>787</v>
      </c>
      <c r="F27" s="4" t="s">
        <v>704</v>
      </c>
    </row>
    <row r="28" spans="1:6" x14ac:dyDescent="0.25">
      <c r="A28" s="6" t="s">
        <v>788</v>
      </c>
      <c r="B28" s="6" t="s">
        <v>789</v>
      </c>
      <c r="C28" s="6" t="s">
        <v>790</v>
      </c>
      <c r="D28" s="6" t="s">
        <v>791</v>
      </c>
      <c r="E28" s="6" t="s">
        <v>792</v>
      </c>
      <c r="F28" s="6" t="s">
        <v>704</v>
      </c>
    </row>
    <row r="29" spans="1:6" x14ac:dyDescent="0.25">
      <c r="A29" s="11" t="s">
        <v>284</v>
      </c>
      <c r="B29" s="11" t="s">
        <v>793</v>
      </c>
      <c r="C29" s="11" t="s">
        <v>794</v>
      </c>
      <c r="D29" s="11" t="s">
        <v>795</v>
      </c>
      <c r="E29" s="11" t="s">
        <v>796</v>
      </c>
      <c r="F29" s="11" t="s">
        <v>797</v>
      </c>
    </row>
    <row r="30" spans="1:6" x14ac:dyDescent="0.25">
      <c r="A30" s="6" t="s">
        <v>273</v>
      </c>
      <c r="B30" s="6" t="s">
        <v>798</v>
      </c>
      <c r="C30" s="6" t="s">
        <v>799</v>
      </c>
      <c r="D30" s="6" t="s">
        <v>800</v>
      </c>
      <c r="E30" s="6" t="s">
        <v>801</v>
      </c>
      <c r="F30" s="6" t="s">
        <v>704</v>
      </c>
    </row>
    <row r="31" spans="1:6" x14ac:dyDescent="0.25">
      <c r="A31" s="11" t="s">
        <v>802</v>
      </c>
      <c r="B31" s="11" t="s">
        <v>803</v>
      </c>
      <c r="C31" s="11" t="s">
        <v>804</v>
      </c>
      <c r="D31" s="11" t="s">
        <v>805</v>
      </c>
      <c r="E31" s="11" t="s">
        <v>806</v>
      </c>
      <c r="F31" s="11" t="s">
        <v>807</v>
      </c>
    </row>
    <row r="32" spans="1:6" x14ac:dyDescent="0.25">
      <c r="A32" s="11" t="s">
        <v>475</v>
      </c>
      <c r="B32" s="11" t="s">
        <v>808</v>
      </c>
      <c r="C32" s="11" t="s">
        <v>470</v>
      </c>
      <c r="D32" s="11" t="s">
        <v>809</v>
      </c>
      <c r="E32" s="11" t="s">
        <v>810</v>
      </c>
      <c r="F32" s="11" t="s">
        <v>811</v>
      </c>
    </row>
    <row r="33" spans="1:6" x14ac:dyDescent="0.25">
      <c r="A33" s="4" t="s">
        <v>486</v>
      </c>
      <c r="B33" s="4" t="s">
        <v>812</v>
      </c>
      <c r="C33" s="4" t="s">
        <v>482</v>
      </c>
      <c r="D33" s="4" t="s">
        <v>489</v>
      </c>
      <c r="E33" s="4" t="s">
        <v>813</v>
      </c>
      <c r="F33" s="4" t="s">
        <v>704</v>
      </c>
    </row>
    <row r="34" spans="1:6" x14ac:dyDescent="0.25">
      <c r="A34" s="6" t="s">
        <v>496</v>
      </c>
      <c r="B34" s="6" t="s">
        <v>495</v>
      </c>
      <c r="C34" s="6" t="s">
        <v>493</v>
      </c>
      <c r="D34" s="6" t="s">
        <v>499</v>
      </c>
      <c r="E34" s="6" t="s">
        <v>814</v>
      </c>
      <c r="F34" s="6" t="s">
        <v>704</v>
      </c>
    </row>
    <row r="35" spans="1:6" x14ac:dyDescent="0.25">
      <c r="A35" s="4" t="s">
        <v>507</v>
      </c>
      <c r="B35" s="4" t="s">
        <v>815</v>
      </c>
      <c r="C35" s="4" t="s">
        <v>503</v>
      </c>
      <c r="D35" s="4" t="s">
        <v>510</v>
      </c>
      <c r="E35" s="4" t="s">
        <v>816</v>
      </c>
      <c r="F35" s="4" t="s">
        <v>704</v>
      </c>
    </row>
    <row r="36" spans="1:6" x14ac:dyDescent="0.25">
      <c r="A36" s="12" t="s">
        <v>521</v>
      </c>
      <c r="B36" s="12" t="s">
        <v>817</v>
      </c>
      <c r="C36" s="12" t="s">
        <v>514</v>
      </c>
      <c r="D36" s="12" t="s">
        <v>818</v>
      </c>
      <c r="E36" s="12" t="s">
        <v>548</v>
      </c>
      <c r="F36" s="12" t="s">
        <v>819</v>
      </c>
    </row>
  </sheetData>
  <autoFilter ref="A4:F36"/>
  <mergeCells count="2">
    <mergeCell ref="A1:F1"/>
    <mergeCell ref="A2:F2"/>
  </mergeCells>
  <pageMargins left="0.4" right="0.4" top="0.5" bottom="0.5" header="0.2" footer="0.2"/>
  <pageSetup paperSize="8" orientation="landscape" fitToWidth="1" fitToHeight="0"/>
  <headerFooter>
    <oddFooter>&amp;8CitaJusta · &amp;A ·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120" customWidth="1"/>
  </cols>
  <sheetData>
    <row r="1" spans="1:2" x14ac:dyDescent="0.25">
      <c r="A1" s="1" t="s">
        <v>820</v>
      </c>
      <c r="B1" s="1"/>
    </row>
    <row r="2" ht="30" customHeight="1" spans="1:2" x14ac:dyDescent="0.25">
      <c r="A2" s="2" t="s">
        <v>821</v>
      </c>
      <c r="B2" s="2"/>
    </row>
    <row r="4" ht="32" customHeight="1" spans="1:2" x14ac:dyDescent="0.25">
      <c r="A4" s="3" t="s">
        <v>822</v>
      </c>
      <c r="B4" s="3" t="s">
        <v>654</v>
      </c>
    </row>
    <row r="5" spans="1:2" x14ac:dyDescent="0.25">
      <c r="A5" s="4" t="s">
        <v>62</v>
      </c>
      <c r="B5" s="4" t="s">
        <v>823</v>
      </c>
    </row>
    <row r="6" spans="1:2" x14ac:dyDescent="0.25">
      <c r="A6" s="6" t="s">
        <v>824</v>
      </c>
      <c r="B6" s="6" t="s">
        <v>825</v>
      </c>
    </row>
    <row r="7" spans="1:2" x14ac:dyDescent="0.25">
      <c r="A7" s="4" t="s">
        <v>826</v>
      </c>
      <c r="B7" s="4" t="s">
        <v>827</v>
      </c>
    </row>
    <row r="8" spans="1:2" x14ac:dyDescent="0.25">
      <c r="A8" s="6" t="s">
        <v>828</v>
      </c>
      <c r="B8" s="6" t="s">
        <v>829</v>
      </c>
    </row>
    <row r="9" spans="1:2" x14ac:dyDescent="0.25">
      <c r="A9" s="4" t="s">
        <v>830</v>
      </c>
      <c r="B9" s="4" t="s">
        <v>831</v>
      </c>
    </row>
    <row r="10" spans="1:2" x14ac:dyDescent="0.25">
      <c r="A10" s="6" t="s">
        <v>830</v>
      </c>
      <c r="B10" s="6" t="s">
        <v>832</v>
      </c>
    </row>
    <row r="11" spans="1:2" x14ac:dyDescent="0.25">
      <c r="A11" s="4" t="s">
        <v>830</v>
      </c>
      <c r="B11" s="4" t="s">
        <v>833</v>
      </c>
    </row>
    <row r="12" spans="1:2" x14ac:dyDescent="0.25">
      <c r="A12" s="6" t="s">
        <v>830</v>
      </c>
      <c r="B12" s="6" t="s">
        <v>834</v>
      </c>
    </row>
    <row r="13" spans="1:2" x14ac:dyDescent="0.25">
      <c r="A13" s="4" t="s">
        <v>830</v>
      </c>
      <c r="B13" s="4" t="s">
        <v>835</v>
      </c>
    </row>
    <row r="14" spans="1:2" x14ac:dyDescent="0.25">
      <c r="A14" s="6" t="s">
        <v>836</v>
      </c>
      <c r="B14" s="6" t="s">
        <v>837</v>
      </c>
    </row>
    <row r="15" spans="1:2" x14ac:dyDescent="0.25">
      <c r="A15" s="4" t="s">
        <v>838</v>
      </c>
      <c r="B15" s="4" t="s">
        <v>839</v>
      </c>
    </row>
    <row r="16" spans="1:2" x14ac:dyDescent="0.25">
      <c r="A16" s="6" t="s">
        <v>840</v>
      </c>
      <c r="B16" s="6" t="s">
        <v>841</v>
      </c>
    </row>
  </sheetData>
  <autoFilter ref="A4:B16"/>
  <mergeCells count="2">
    <mergeCell ref="A1:B1"/>
    <mergeCell ref="A2:B2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Product Backlog</vt:lpstr>
      <vt:lpstr>Épicas</vt:lpstr>
      <vt:lpstr>Cambios de alcance</vt:lpstr>
      <vt:lpstr>Trazabilidad</vt:lpstr>
      <vt:lpstr>Notas de versión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CitaJusta</dc:creator>
  <dc:title>CitaJusta — Product Backlog v2.0</dc:title>
  <dc:subject/>
  <dc:description/>
  <cp:keywords/>
  <cp:category/>
  <cp:lastModifiedBy>Unknown</cp:lastModifiedBy>
  <dcterms:created xsi:type="dcterms:W3CDTF">2026-10-17T18:23:23Z</dcterms:created>
  <dcterms:modified xsi:type="dcterms:W3CDTF">2026-10-17T18:23:23Z</dcterms:modified>
</cp:coreProperties>
</file>