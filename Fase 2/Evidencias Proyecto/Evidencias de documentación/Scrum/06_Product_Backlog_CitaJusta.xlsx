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duct Backlog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Actualización 15-10" sheetId="3" state="visible" r:id="rId3"/>
    <sheet xmlns:r="http://schemas.openxmlformats.org/officeDocument/2006/relationships" name="Corte GitHub 16-10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rlito"/>
      <color rgb="FF000000"/>
      <sz val="11"/>
    </font>
    <font>
      <name val="Carlito"/>
      <b val="1"/>
      <color rgb="FFFFFFFF"/>
      <sz val="16"/>
    </font>
    <font>
      <name val="Carlito"/>
      <color theme="1"/>
      <sz val="11"/>
    </font>
    <font>
      <name val="Carlito"/>
      <b val="1"/>
      <color theme="1"/>
      <sz val="11"/>
    </font>
    <font>
      <name val="Carlito"/>
      <b val="1"/>
      <color rgb="FF1F1F1F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sz val="11"/>
    </font>
    <font>
      <name val="Carlito"/>
      <i val="1"/>
      <color rgb="FF4B5563"/>
      <sz val="9"/>
    </font>
    <font>
      <name val="Carlito"/>
      <color rgb="FF000000"/>
      <sz val="10"/>
    </font>
    <font>
      <name val="Carlito"/>
      <b val="1"/>
      <color rgb="FF111111"/>
      <sz val="11"/>
    </font>
    <font>
      <name val="Carlito"/>
      <color rgb="FF111111"/>
      <sz val="10"/>
    </font>
    <font>
      <name val="Carlito"/>
      <b val="1"/>
      <color rgb="FFFFFFFF"/>
      <sz val="15"/>
    </font>
    <font>
      <name val="Carlito"/>
      <color rgb="FF172B50"/>
      <sz val="10"/>
    </font>
    <font>
      <name val="Carlito"/>
      <b val="1"/>
      <color rgb="FFFFFFFF"/>
      <sz val="11"/>
    </font>
    <font>
      <b val="1"/>
      <color rgb="00FFFFFF"/>
    </font>
  </fonts>
  <fills count="17">
    <fill>
      <patternFill/>
    </fill>
    <fill>
      <patternFill patternType="gray125"/>
    </fill>
    <fill>
      <patternFill patternType="solid">
        <fgColor theme="9"/>
      </patternFill>
    </fill>
    <fill>
      <patternFill patternType="solid">
        <fgColor rgb="FFB6D7A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theme="9" tint="0.79992"/>
      </patternFill>
    </fill>
    <fill>
      <patternFill patternType="solid">
        <fgColor theme="0"/>
      </patternFill>
    </fill>
    <fill>
      <patternFill patternType="solid">
        <fgColor theme="5" tint="0.79998"/>
      </patternFill>
    </fill>
    <fill>
      <patternFill patternType="solid">
        <fgColor rgb="FFDDEED4"/>
      </patternFill>
    </fill>
    <fill>
      <patternFill patternType="solid">
        <fgColor rgb="FF172B50"/>
      </patternFill>
    </fill>
    <fill>
      <patternFill patternType="solid">
        <fgColor rgb="FFE8F5F5"/>
      </patternFill>
    </fill>
    <fill>
      <patternFill patternType="solid">
        <fgColor rgb="FF008184"/>
      </patternFill>
    </fill>
    <fill>
      <patternFill patternType="solid">
        <fgColor rgb="FFF3F8FB"/>
      </patternFill>
    </fill>
    <fill>
      <patternFill patternType="solid">
        <fgColor rgb="FFFFF0D8"/>
      </patternFill>
    </fill>
    <fill>
      <patternFill patternType="solid">
        <fgColor rgb="0017365D"/>
      </patternFill>
    </fill>
    <fill>
      <patternFill patternType="solid">
        <fgColor rgb="00EEF5F7"/>
      </patternFill>
    </fill>
  </fills>
  <borders count="5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indexed="64"/>
      </left>
      <right style="thin">
        <color indexed="64"/>
      </right>
      <bottom style="thin">
        <color indexed="64"/>
      </bottom>
    </border>
    <border>
      <top style="thin">
        <color indexed="64"/>
      </top>
    </border>
    <border>
      <left style="thin">
        <color indexed="64"/>
      </left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top style="thin">
        <color indexed="64"/>
      </top>
    </border>
    <border>
      <left style="thin">
        <color indexed="64"/>
      </left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5" fillId="0" borderId="26"/>
  </cellStyleXfs>
  <cellXfs count="204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wrapText="1"/>
    </xf>
    <xf numFmtId="0" fontId="6" fillId="3" borderId="1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4" fontId="5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14" applyAlignment="1" pivotButton="0" quotePrefix="0" xfId="0">
      <alignment vertical="top" wrapText="1"/>
    </xf>
    <xf numFmtId="0" fontId="3" fillId="6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2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wrapText="1"/>
    </xf>
    <xf numFmtId="0" fontId="6" fillId="4" borderId="2" applyAlignment="1" pivotButton="0" quotePrefix="0" xfId="0">
      <alignment wrapText="1"/>
    </xf>
    <xf numFmtId="0" fontId="7" fillId="0" borderId="3" pivotButton="0" quotePrefix="0" xfId="0"/>
    <xf numFmtId="0" fontId="0" fillId="0" borderId="4" applyAlignment="1" pivotButton="0" quotePrefix="0" xfId="0">
      <alignment vertical="top" wrapText="1"/>
    </xf>
    <xf numFmtId="0" fontId="7" fillId="0" borderId="5" applyAlignment="1" pivotButton="0" quotePrefix="0" xfId="0">
      <alignment wrapText="1"/>
    </xf>
    <xf numFmtId="0" fontId="7" fillId="0" borderId="6" applyAlignment="1" pivotButton="0" quotePrefix="0" xfId="0">
      <alignment wrapText="1"/>
    </xf>
    <xf numFmtId="0" fontId="7" fillId="0" borderId="7" applyAlignment="1" pivotButton="0" quotePrefix="0" xfId="0">
      <alignment wrapText="1"/>
    </xf>
    <xf numFmtId="0" fontId="7" fillId="0" borderId="8" pivotButton="0" quotePrefix="0" xfId="0"/>
    <xf numFmtId="0" fontId="7" fillId="0" borderId="9" pivotButton="0" quotePrefix="0" xfId="0"/>
    <xf numFmtId="0" fontId="6" fillId="5" borderId="2" pivotButton="0" quotePrefix="0" xfId="0"/>
    <xf numFmtId="0" fontId="7" fillId="0" borderId="10" pivotButton="0" quotePrefix="0" xfId="0"/>
    <xf numFmtId="0" fontId="7" fillId="0" borderId="11" applyAlignment="1" pivotButton="0" quotePrefix="0" xfId="0">
      <alignment wrapText="1"/>
    </xf>
    <xf numFmtId="0" fontId="7" fillId="0" borderId="6" pivotButton="0" quotePrefix="0" xfId="0"/>
    <xf numFmtId="0" fontId="7" fillId="0" borderId="7" pivotButton="0" quotePrefix="0" xfId="0"/>
    <xf numFmtId="0" fontId="7" fillId="0" borderId="12" pivotButton="0" quotePrefix="0" xfId="0"/>
    <xf numFmtId="0" fontId="0" fillId="7" borderId="13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2" fillId="0" borderId="13" applyAlignment="1" pivotButton="0" quotePrefix="0" xfId="0">
      <alignment vertical="top" wrapText="1"/>
    </xf>
    <xf numFmtId="0" fontId="2" fillId="7" borderId="17" applyAlignment="1" pivotButton="0" quotePrefix="0" xfId="0">
      <alignment horizontal="center" vertical="center" wrapText="1"/>
    </xf>
    <xf numFmtId="0" fontId="2" fillId="8" borderId="0" applyAlignment="1" pivotButton="0" quotePrefix="0" xfId="0">
      <alignment wrapText="1"/>
    </xf>
    <xf numFmtId="0" fontId="0" fillId="8" borderId="0" applyAlignment="1" pivotButton="0" quotePrefix="0" xfId="0">
      <alignment wrapText="1"/>
    </xf>
    <xf numFmtId="0" fontId="0" fillId="0" borderId="26" pivotButton="0" quotePrefix="0" xfId="0"/>
    <xf numFmtId="0" fontId="2" fillId="0" borderId="27" applyAlignment="1" pivotButton="0" quotePrefix="0" xfId="0">
      <alignment vertical="top" wrapText="1"/>
    </xf>
    <xf numFmtId="0" fontId="4" fillId="3" borderId="27" applyAlignment="1" pivotButton="0" quotePrefix="0" xfId="0">
      <alignment horizontal="center" vertical="center" wrapText="1"/>
    </xf>
    <xf numFmtId="0" fontId="0" fillId="0" borderId="26" applyAlignment="1" pivotButton="0" quotePrefix="0" xfId="0">
      <alignment wrapText="1"/>
    </xf>
    <xf numFmtId="0" fontId="6" fillId="3" borderId="27" applyAlignment="1" pivotButton="0" quotePrefix="0" xfId="0">
      <alignment wrapText="1"/>
    </xf>
    <xf numFmtId="0" fontId="0" fillId="0" borderId="27" applyAlignment="1" pivotButton="0" quotePrefix="0" xfId="0">
      <alignment wrapText="1"/>
    </xf>
    <xf numFmtId="164" fontId="0" fillId="0" borderId="27" applyAlignment="1" pivotButton="0" quotePrefix="0" xfId="0">
      <alignment wrapText="1"/>
    </xf>
    <xf numFmtId="0" fontId="2" fillId="0" borderId="28" applyAlignment="1" pivotButton="0" quotePrefix="0" xfId="0">
      <alignment vertical="top" wrapText="1"/>
    </xf>
    <xf numFmtId="0" fontId="3" fillId="6" borderId="29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2" fillId="0" borderId="31" applyAlignment="1" pivotButton="0" quotePrefix="0" xfId="0">
      <alignment vertical="top" wrapText="1"/>
    </xf>
    <xf numFmtId="0" fontId="0" fillId="0" borderId="32" applyAlignment="1" pivotButton="0" quotePrefix="0" xfId="0">
      <alignment horizontal="center" vertical="center" wrapText="1"/>
    </xf>
    <xf numFmtId="0" fontId="1" fillId="2" borderId="26" applyAlignment="1" pivotButton="0" quotePrefix="0" xfId="0">
      <alignment horizontal="center" vertical="center"/>
    </xf>
    <xf numFmtId="0" fontId="1" fillId="2" borderId="29" applyAlignment="1" pivotButton="0" quotePrefix="0" xfId="0">
      <alignment horizontal="center" vertical="center" wrapText="1"/>
    </xf>
    <xf numFmtId="0" fontId="0" fillId="0" borderId="29" applyAlignment="1" pivotButton="0" quotePrefix="0" xfId="0">
      <alignment wrapText="1"/>
    </xf>
    <xf numFmtId="0" fontId="6" fillId="4" borderId="33" applyAlignment="1" pivotButton="0" quotePrefix="0" xfId="0">
      <alignment wrapText="1"/>
    </xf>
    <xf numFmtId="0" fontId="7" fillId="0" borderId="34" pivotButton="0" quotePrefix="0" xfId="0"/>
    <xf numFmtId="0" fontId="0" fillId="0" borderId="35" applyAlignment="1" pivotButton="0" quotePrefix="0" xfId="0">
      <alignment vertical="top" wrapText="1"/>
    </xf>
    <xf numFmtId="0" fontId="7" fillId="0" borderId="36" applyAlignment="1" pivotButton="0" quotePrefix="0" xfId="0">
      <alignment wrapText="1"/>
    </xf>
    <xf numFmtId="0" fontId="7" fillId="0" borderId="37" applyAlignment="1" pivotButton="0" quotePrefix="0" xfId="0">
      <alignment wrapText="1"/>
    </xf>
    <xf numFmtId="0" fontId="7" fillId="0" borderId="38" applyAlignment="1" pivotButton="0" quotePrefix="0" xfId="0">
      <alignment wrapText="1"/>
    </xf>
    <xf numFmtId="0" fontId="7" fillId="0" borderId="39" pivotButton="0" quotePrefix="0" xfId="0"/>
    <xf numFmtId="0" fontId="7" fillId="0" borderId="40" pivotButton="0" quotePrefix="0" xfId="0"/>
    <xf numFmtId="0" fontId="6" fillId="5" borderId="33" pivotButton="0" quotePrefix="0" xfId="0"/>
    <xf numFmtId="0" fontId="7" fillId="0" borderId="41" pivotButton="0" quotePrefix="0" xfId="0"/>
    <xf numFmtId="0" fontId="7" fillId="0" borderId="42" applyAlignment="1" pivotButton="0" quotePrefix="0" xfId="0">
      <alignment wrapText="1"/>
    </xf>
    <xf numFmtId="0" fontId="7" fillId="0" borderId="37" pivotButton="0" quotePrefix="0" xfId="0"/>
    <xf numFmtId="0" fontId="7" fillId="0" borderId="38" pivotButton="0" quotePrefix="0" xfId="0"/>
    <xf numFmtId="0" fontId="7" fillId="0" borderId="43" pivotButton="0" quotePrefix="0" xfId="0"/>
    <xf numFmtId="0" fontId="0" fillId="7" borderId="29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 wrapText="1"/>
    </xf>
    <xf numFmtId="0" fontId="0" fillId="0" borderId="45" applyAlignment="1" pivotButton="0" quotePrefix="0" xfId="0">
      <alignment horizontal="center" vertical="center" wrapText="1"/>
    </xf>
    <xf numFmtId="0" fontId="0" fillId="0" borderId="46" applyAlignment="1" pivotButton="0" quotePrefix="0" xfId="0">
      <alignment horizontal="center" vertical="center" wrapText="1"/>
    </xf>
    <xf numFmtId="0" fontId="0" fillId="0" borderId="47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48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50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 wrapText="1"/>
    </xf>
    <xf numFmtId="0" fontId="2" fillId="0" borderId="29" applyAlignment="1" pivotButton="0" quotePrefix="0" xfId="0">
      <alignment vertical="top" wrapText="1"/>
    </xf>
    <xf numFmtId="0" fontId="2" fillId="7" borderId="32" applyAlignment="1" pivotButton="0" quotePrefix="0" xfId="0">
      <alignment horizontal="center" vertical="center" wrapText="1"/>
    </xf>
    <xf numFmtId="0" fontId="2" fillId="8" borderId="26" applyAlignment="1" pivotButton="0" quotePrefix="0" xfId="0">
      <alignment wrapText="1"/>
    </xf>
    <xf numFmtId="0" fontId="0" fillId="8" borderId="26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8" fillId="0" borderId="26" applyAlignment="1" pivotButton="0" quotePrefix="0" xfId="0">
      <alignment wrapText="1"/>
    </xf>
    <xf numFmtId="0" fontId="8" fillId="0" borderId="0" applyAlignment="1" pivotButton="0" quotePrefix="0" xfId="0">
      <alignment vertical="center" wrapText="1"/>
    </xf>
    <xf numFmtId="0" fontId="8" fillId="0" borderId="26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vertical="center" wrapText="1"/>
    </xf>
    <xf numFmtId="0" fontId="9" fillId="0" borderId="26" applyAlignment="1" pivotButton="0" quotePrefix="0" xfId="0">
      <alignment wrapText="1"/>
    </xf>
    <xf numFmtId="0" fontId="9" fillId="0" borderId="26" applyAlignment="1" pivotButton="0" quotePrefix="0" xfId="0">
      <alignment vertical="center" wrapText="1"/>
    </xf>
    <xf numFmtId="0" fontId="0" fillId="0" borderId="4" applyAlignment="1" pivotButton="0" quotePrefix="0" xfId="0">
      <alignment vertical="top" wrapText="1"/>
    </xf>
    <xf numFmtId="0" fontId="7" fillId="0" borderId="5" applyAlignment="1" pivotButton="0" quotePrefix="0" xfId="0">
      <alignment wrapText="1"/>
    </xf>
    <xf numFmtId="0" fontId="7" fillId="0" borderId="6" applyAlignment="1" pivotButton="0" quotePrefix="0" xfId="0">
      <alignment wrapText="1"/>
    </xf>
    <xf numFmtId="0" fontId="7" fillId="0" borderId="7" applyAlignment="1" pivotButton="0" quotePrefix="0" xfId="0">
      <alignment wrapText="1"/>
    </xf>
    <xf numFmtId="0" fontId="7" fillId="0" borderId="8" applyAlignment="1" pivotButton="0" quotePrefix="0" xfId="0">
      <alignment wrapText="1"/>
    </xf>
    <xf numFmtId="0" fontId="7" fillId="0" borderId="9" applyAlignment="1" pivotButton="0" quotePrefix="0" xfId="0">
      <alignment wrapText="1"/>
    </xf>
    <xf numFmtId="0" fontId="7" fillId="0" borderId="39" applyAlignment="1" pivotButton="0" quotePrefix="0" xfId="0">
      <alignment wrapText="1"/>
    </xf>
    <xf numFmtId="0" fontId="7" fillId="0" borderId="40" applyAlignment="1" pivotButton="0" quotePrefix="0" xfId="0">
      <alignment wrapText="1"/>
    </xf>
    <xf numFmtId="0" fontId="7" fillId="0" borderId="11" applyAlignment="1" pivotButton="0" quotePrefix="0" xfId="0">
      <alignment wrapText="1"/>
    </xf>
    <xf numFmtId="0" fontId="7" fillId="0" borderId="12" applyAlignment="1" pivotButton="0" quotePrefix="0" xfId="0">
      <alignment wrapText="1"/>
    </xf>
    <xf numFmtId="0" fontId="7" fillId="0" borderId="43" applyAlignment="1" pivotButton="0" quotePrefix="0" xfId="0">
      <alignment wrapText="1"/>
    </xf>
    <xf numFmtId="0" fontId="0" fillId="9" borderId="0" pivotButton="0" quotePrefix="0" xfId="0"/>
    <xf numFmtId="0" fontId="0" fillId="9" borderId="26" pivotButton="0" quotePrefix="0" xfId="0"/>
    <xf numFmtId="0" fontId="10" fillId="9" borderId="0" pivotButton="0" quotePrefix="0" xfId="0"/>
    <xf numFmtId="0" fontId="10" fillId="9" borderId="26" pivotButton="0" quotePrefix="0" xfId="0"/>
    <xf numFmtId="0" fontId="6" fillId="5" borderId="2" applyAlignment="1" pivotButton="0" quotePrefix="0" xfId="0">
      <alignment wrapText="1"/>
    </xf>
    <xf numFmtId="0" fontId="7" fillId="0" borderId="10" applyAlignment="1" pivotButton="0" quotePrefix="0" xfId="0">
      <alignment wrapText="1"/>
    </xf>
    <xf numFmtId="0" fontId="6" fillId="5" borderId="33" applyAlignment="1" pivotButton="0" quotePrefix="0" xfId="0">
      <alignment wrapText="1"/>
    </xf>
    <xf numFmtId="0" fontId="7" fillId="0" borderId="41" applyAlignment="1" pivotButton="0" quotePrefix="0" xfId="0">
      <alignment wrapText="1"/>
    </xf>
    <xf numFmtId="0" fontId="6" fillId="5" borderId="2" applyAlignment="1" pivotButton="0" quotePrefix="0" xfId="0">
      <alignment vertical="top" wrapText="1"/>
    </xf>
    <xf numFmtId="0" fontId="7" fillId="0" borderId="10" applyAlignment="1" pivotButton="0" quotePrefix="0" xfId="0">
      <alignment vertical="top" wrapText="1"/>
    </xf>
    <xf numFmtId="0" fontId="7" fillId="0" borderId="11" applyAlignment="1" pivotButton="0" quotePrefix="0" xfId="0">
      <alignment vertical="top" wrapText="1"/>
    </xf>
    <xf numFmtId="0" fontId="7" fillId="0" borderId="6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5" borderId="33" applyAlignment="1" pivotButton="0" quotePrefix="0" xfId="0">
      <alignment vertical="top" wrapText="1"/>
    </xf>
    <xf numFmtId="0" fontId="7" fillId="0" borderId="41" applyAlignment="1" pivotButton="0" quotePrefix="0" xfId="0">
      <alignment vertical="top" wrapText="1"/>
    </xf>
    <xf numFmtId="0" fontId="7" fillId="0" borderId="42" applyAlignment="1" pivotButton="0" quotePrefix="0" xfId="0">
      <alignment vertical="top" wrapText="1"/>
    </xf>
    <xf numFmtId="0" fontId="7" fillId="0" borderId="37" applyAlignment="1" pivotButton="0" quotePrefix="0" xfId="0">
      <alignment vertical="top" wrapText="1"/>
    </xf>
    <xf numFmtId="0" fontId="0" fillId="0" borderId="26" applyAlignment="1" pivotButton="0" quotePrefix="0" xfId="0">
      <alignment vertical="top" wrapText="1"/>
    </xf>
    <xf numFmtId="0" fontId="11" fillId="5" borderId="2" applyAlignment="1" pivotButton="0" quotePrefix="0" xfId="0">
      <alignment vertical="top" wrapText="1"/>
    </xf>
    <xf numFmtId="0" fontId="11" fillId="0" borderId="10" applyAlignment="1" pivotButton="0" quotePrefix="0" xfId="0">
      <alignment vertical="top" wrapText="1"/>
    </xf>
    <xf numFmtId="0" fontId="11" fillId="0" borderId="4" applyAlignment="1" pivotButton="0" quotePrefix="0" xfId="0">
      <alignment vertical="top" wrapText="1"/>
    </xf>
    <xf numFmtId="0" fontId="11" fillId="0" borderId="11" applyAlignment="1" pivotButton="0" quotePrefix="0" xfId="0">
      <alignment vertical="top" wrapText="1"/>
    </xf>
    <xf numFmtId="0" fontId="11" fillId="0" borderId="6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2" fillId="0" borderId="14" applyAlignment="1" pivotButton="0" quotePrefix="0" xfId="0">
      <alignment vertical="top" wrapText="1"/>
    </xf>
    <xf numFmtId="0" fontId="3" fillId="6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2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wrapText="1"/>
    </xf>
    <xf numFmtId="0" fontId="6" fillId="4" borderId="2" applyAlignment="1" pivotButton="0" quotePrefix="0" xfId="0">
      <alignment wrapText="1"/>
    </xf>
    <xf numFmtId="0" fontId="7" fillId="0" borderId="3" pivotButton="0" quotePrefix="0" xfId="0"/>
    <xf numFmtId="0" fontId="7" fillId="0" borderId="8" pivotButton="0" quotePrefix="0" xfId="0"/>
    <xf numFmtId="0" fontId="7" fillId="0" borderId="9" pivotButton="0" quotePrefix="0" xfId="0"/>
    <xf numFmtId="0" fontId="6" fillId="5" borderId="2" pivotButton="0" quotePrefix="0" xfId="0"/>
    <xf numFmtId="0" fontId="7" fillId="0" borderId="10" pivotButton="0" quotePrefix="0" xfId="0"/>
    <xf numFmtId="0" fontId="7" fillId="0" borderId="6" pivotButton="0" quotePrefix="0" xfId="0"/>
    <xf numFmtId="0" fontId="7" fillId="0" borderId="7" pivotButton="0" quotePrefix="0" xfId="0"/>
    <xf numFmtId="0" fontId="7" fillId="0" borderId="12" pivotButton="0" quotePrefix="0" xfId="0"/>
    <xf numFmtId="0" fontId="0" fillId="7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vertical="top" wrapText="1"/>
    </xf>
    <xf numFmtId="0" fontId="2" fillId="7" borderId="17" applyAlignment="1" pivotButton="0" quotePrefix="0" xfId="0">
      <alignment horizontal="center" vertical="center" wrapText="1"/>
    </xf>
    <xf numFmtId="0" fontId="2" fillId="8" borderId="0" applyAlignment="1" pivotButton="0" quotePrefix="0" xfId="0">
      <alignment wrapText="1"/>
    </xf>
    <xf numFmtId="0" fontId="0" fillId="8" borderId="0" applyAlignment="1" pivotButton="0" quotePrefix="0" xfId="0">
      <alignment wrapText="1"/>
    </xf>
    <xf numFmtId="0" fontId="0" fillId="10" borderId="0" pivotButton="0" quotePrefix="0" xfId="0"/>
    <xf numFmtId="0" fontId="12" fillId="10" borderId="0" pivotButton="0" quotePrefix="0" xfId="0"/>
    <xf numFmtId="0" fontId="12" fillId="10" borderId="0" applyAlignment="1" pivotButton="0" quotePrefix="0" xfId="0">
      <alignment vertical="center"/>
    </xf>
    <xf numFmtId="0" fontId="0" fillId="11" borderId="0" pivotButton="0" quotePrefix="0" xfId="0"/>
    <xf numFmtId="0" fontId="13" fillId="11" borderId="0" pivotButton="0" quotePrefix="0" xfId="0"/>
    <xf numFmtId="0" fontId="13" fillId="11" borderId="0" applyAlignment="1" pivotButton="0" quotePrefix="0" xfId="0">
      <alignment wrapText="1"/>
    </xf>
    <xf numFmtId="0" fontId="13" fillId="11" borderId="0" applyAlignment="1" pivotButton="0" quotePrefix="0" xfId="0">
      <alignment vertical="center" wrapText="1"/>
    </xf>
    <xf numFmtId="0" fontId="0" fillId="12" borderId="0" pivotButton="0" quotePrefix="0" xfId="0"/>
    <xf numFmtId="0" fontId="14" fillId="12" borderId="0" pivotButton="0" quotePrefix="0" xfId="0"/>
    <xf numFmtId="0" fontId="14" fillId="12" borderId="0" applyAlignment="1" pivotButton="0" quotePrefix="0" xfId="0">
      <alignment wrapText="1"/>
    </xf>
    <xf numFmtId="0" fontId="14" fillId="12" borderId="0" applyAlignment="1" pivotButton="0" quotePrefix="0" xfId="0">
      <alignment vertical="center" wrapText="1"/>
    </xf>
    <xf numFmtId="0" fontId="0" fillId="13" borderId="0" applyAlignment="1" pivotButton="0" quotePrefix="0" xfId="0">
      <alignment vertical="top" wrapText="1"/>
    </xf>
    <xf numFmtId="0" fontId="0" fillId="14" borderId="0" applyAlignment="1" pivotButton="0" quotePrefix="0" xfId="0">
      <alignment wrapText="1"/>
    </xf>
    <xf numFmtId="0" fontId="9" fillId="0" borderId="0" applyAlignment="1" pivotButton="0" quotePrefix="0" xfId="0">
      <alignment vertical="top" wrapText="1"/>
    </xf>
    <xf numFmtId="0" fontId="0" fillId="0" borderId="52" pivotButton="0" quotePrefix="0" xfId="0"/>
    <xf numFmtId="0" fontId="0" fillId="0" borderId="53" pivotButton="0" quotePrefix="0" xfId="0"/>
    <xf numFmtId="0" fontId="6" fillId="4" borderId="27" applyAlignment="1" pivotButton="0" quotePrefix="0" xfId="0">
      <alignment wrapText="1"/>
    </xf>
    <xf numFmtId="0" fontId="0" fillId="0" borderId="34" pivotButton="0" quotePrefix="0" xfId="0"/>
    <xf numFmtId="0" fontId="0" fillId="0" borderId="27" applyAlignment="1" pivotButton="0" quotePrefix="0" xfId="0">
      <alignment vertical="top" wrapText="1"/>
    </xf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11" fillId="5" borderId="33" applyAlignment="1" pivotButton="0" quotePrefix="0" xfId="0">
      <alignment vertical="top" wrapText="1"/>
    </xf>
    <xf numFmtId="0" fontId="0" fillId="0" borderId="42" pivotButton="0" quotePrefix="0" xfId="0"/>
    <xf numFmtId="0" fontId="0" fillId="0" borderId="43" pivotButton="0" quotePrefix="0" xfId="0"/>
    <xf numFmtId="0" fontId="12" fillId="10" borderId="26" applyAlignment="1" pivotButton="0" quotePrefix="0" xfId="0">
      <alignment vertical="center"/>
    </xf>
    <xf numFmtId="0" fontId="13" fillId="11" borderId="26" applyAlignment="1" pivotButton="0" quotePrefix="0" xfId="0">
      <alignment vertical="center" wrapText="1"/>
    </xf>
    <xf numFmtId="0" fontId="0" fillId="14" borderId="26" applyAlignment="1" pivotButton="0" quotePrefix="0" xfId="0">
      <alignment wrapText="1"/>
    </xf>
    <xf numFmtId="0" fontId="15" fillId="15" borderId="0" applyAlignment="1" pivotButton="0" quotePrefix="0" xfId="0">
      <alignment vertical="center" wrapText="1"/>
    </xf>
    <xf numFmtId="0" fontId="0" fillId="16" borderId="0" applyAlignment="1" pivotButton="0" quotePrefix="0" xfId="0">
      <alignment vertical="top" wrapText="1"/>
    </xf>
  </cellXfs>
  <cellStyles count="1">
    <cellStyle name="Normal" xfId="0"/>
  </cellStyles>
  <dxfs count="4">
    <dxf>
      <fill>
        <patternFill>
          <bgColor rgb="FFF2F2F2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border>
        <bottom style="thin">
          <color indexed="6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solidFill>
                  <a:srgbClr val="757575"/>
                </a:solidFill>
                <a:latin typeface="+mn-lt"/>
                <a:ea typeface="+mn-lt"/>
                <a:cs typeface="+mn-lt"/>
              </a:rPr>
              <a:t>Historias por estado</a:t>
            </a:r>
          </a:p>
        </rich>
      </tx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solidFill>
                <a:srgbClr val="757575"/>
              </a:solidFill>
              <a:latin typeface="+mn-lt"/>
              <a:ea typeface="+mn-lt"/>
              <a:cs typeface="+mn-lt"/>
            </a:defRPr>
          </a:pPr>
          <a:r>
            <a:t/>
          </a:r>
        </a:p>
      </txPr>
    </title>
    <plotArea>
      <barChart>
        <barDir val="col"/>
        <grouping val="clustered"/>
        <varyColors val="0"/>
        <ser>
          <idx val="0"/>
          <order val="0"/>
          <tx>
            <v>Historias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noFill/>
              <a:prstDash val="solid"/>
            </a:ln>
          </spPr>
          <cat>
            <strLit>
              <ptCount val="0"/>
            </strLit>
          </cat>
          <val>
            <numRef>
              <f>Resumen!$E$4:$E$6</f>
              <numCache>
                <formatCode>General</formatCode>
                <ptCount val="3"/>
                <pt idx="0">
                  <v>29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041784184"/>
        <axId val="2056864122"/>
      </barChart>
      <catAx>
        <axId val="2041784184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r>
                  <a:t/>
                </a:r>
              </a:p>
            </rich>
          </tx>
          <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  <a:r>
                <a:t/>
              </a:r>
            </a:p>
          </txPr>
        </title>
        <numFmt formatCode="General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/>
            </a:r>
          </a:p>
        </txPr>
        <crossAx val="2056864122"/>
        <crosses val="autoZero"/>
        <lblOffset val="100"/>
      </catAx>
      <valAx>
        <axId val="2056864122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r>
                  <a:t/>
                </a:r>
              </a:p>
            </rich>
          </tx>
          <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  <a:r>
                <a:t/>
              </a:r>
            </a:p>
          </txPr>
        </title>
        <numFmt formatCode="General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/>
            </a:r>
          </a:p>
        </txPr>
        <crossAx val="2041784184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161925</colOff>
      <row>3</row>
      <rowOff>9525</rowOff>
    </from>
    <ext cx="8258175" cy="3343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duct_backlog" displayName="Product_backlog" ref="A4:N24" headerRowCount="1" headerRowBorderDxfId="3">
  <tableColumns count="14">
    <tableColumn id="1" name="ID"/>
    <tableColumn id="2" name="Épica"/>
    <tableColumn id="3" name="Historia de Usuario"/>
    <tableColumn id="4" name="Alias"/>
    <tableColumn id="5" name="Estado"/>
    <tableColumn id="6" name="Story Points"/>
    <tableColumn id="7" name="Sprint"/>
    <tableColumn id="8" name="Prioridad"/>
    <tableColumn id="9" name="RF"/>
    <tableColumn id="10" name="Alcance"/>
    <tableColumn id="11" name="Criterios de aceptación (resumen)"/>
    <tableColumn id="12" name="Evidencia / rama"/>
    <tableColumn id="13" name="Issue GitHub"/>
    <tableColumn id="14" name="Comentarios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10" defaultColWidth="12.625" defaultRowHeight="14.25"/>
  <cols>
    <col width="12" customWidth="1" style="143" min="1" max="1"/>
    <col width="18" customWidth="1" style="143" min="2" max="2"/>
    <col width="46" customWidth="1" style="143" min="3" max="3"/>
    <col width="26" customWidth="1" style="143" min="4" max="4"/>
    <col width="15" customWidth="1" style="143" min="5" max="5"/>
    <col width="22.125" customWidth="1" style="143" min="6" max="6"/>
    <col width="12" customWidth="1" style="143" min="7" max="7"/>
    <col width="15.75" customWidth="1" style="143" min="8" max="8"/>
    <col width="20" customWidth="1" style="143" min="9" max="9"/>
    <col width="12" customWidth="1" style="143" min="10" max="10"/>
    <col width="52" customWidth="1" style="143" min="11" max="11"/>
    <col width="38" customWidth="1" style="143" min="12" max="12"/>
    <col width="22" customWidth="1" style="143" min="13" max="13"/>
    <col width="44" customWidth="1" style="143" min="14" max="14"/>
  </cols>
  <sheetData>
    <row r="1" ht="27.75" customHeight="1" s="143">
      <c r="A1" s="59" t="inlineStr">
        <is>
          <t>CITAJUSTA  PRODUCT BACKLOG PRIORIZADO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>
      <c r="A2" s="88" t="inlineStr">
        <is>
          <t>Versión 1.10 · Corte 16-10-2026 · HU-001–042 completadas (42), HU-043 excluida (1). Sprint 8 con integraciones completadas; cierre formal del Sprint no acreditado.</t>
        </is>
      </c>
      <c r="B2" s="46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  <c r="L2" s="46" t="n"/>
      <c r="M2" s="46" t="n"/>
      <c r="N2" s="46" t="n"/>
    </row>
    <row r="4" ht="33.75" customHeight="1" s="143">
      <c r="A4" s="150" t="inlineStr">
        <is>
          <t>ID</t>
        </is>
      </c>
      <c r="B4" s="150" t="inlineStr">
        <is>
          <t>Épica</t>
        </is>
      </c>
      <c r="C4" s="150" t="inlineStr">
        <is>
          <t>Historia de Usuario</t>
        </is>
      </c>
      <c r="D4" s="150" t="inlineStr">
        <is>
          <t>Alias</t>
        </is>
      </c>
      <c r="E4" s="150" t="inlineStr">
        <is>
          <t>Estado</t>
        </is>
      </c>
      <c r="F4" s="150" t="inlineStr">
        <is>
          <t>Story Points</t>
        </is>
      </c>
      <c r="G4" s="150" t="inlineStr">
        <is>
          <t>Sprint</t>
        </is>
      </c>
      <c r="H4" s="150" t="inlineStr">
        <is>
          <t>Prioridad</t>
        </is>
      </c>
      <c r="I4" s="150" t="inlineStr">
        <is>
          <t>RF</t>
        </is>
      </c>
      <c r="J4" s="150" t="inlineStr">
        <is>
          <t>Alcance</t>
        </is>
      </c>
      <c r="K4" s="150" t="inlineStr">
        <is>
          <t>Criterios de aceptación (resumen)</t>
        </is>
      </c>
      <c r="L4" s="150" t="inlineStr">
        <is>
          <t>Evidencia / rama</t>
        </is>
      </c>
      <c r="M4" s="150" t="inlineStr">
        <is>
          <t>Issue GitHub</t>
        </is>
      </c>
      <c r="N4" s="150" t="inlineStr">
        <is>
          <t>Comentarios</t>
        </is>
      </c>
    </row>
    <row r="5" ht="43.5" customHeight="1" s="143">
      <c r="A5" s="149" t="inlineStr">
        <is>
          <t>HU-001</t>
        </is>
      </c>
      <c r="B5" s="149" t="inlineStr">
        <is>
          <t>Cuenta y acceso</t>
        </is>
      </c>
      <c r="C5" s="149" t="inlineStr">
        <is>
          <t>Como usuario final, quiero crear una cuenta, para utilizar CitaJusta y administrar mis citas.</t>
        </is>
      </c>
      <c r="D5" s="149" t="inlineStr">
        <is>
          <t>Registro de usuario</t>
        </is>
      </c>
      <c r="E5" s="149" t="inlineStr">
        <is>
          <t>Done</t>
        </is>
      </c>
      <c r="F5" s="149" t="n">
        <v>3</v>
      </c>
      <c r="G5" s="149" t="inlineStr">
        <is>
          <t>Sprint 3</t>
        </is>
      </c>
      <c r="H5" s="149" t="inlineStr">
        <is>
          <t>Alta</t>
        </is>
      </c>
      <c r="I5" s="149" t="inlineStr">
        <is>
          <t>RF-001</t>
        </is>
      </c>
      <c r="J5" s="149" t="inlineStr">
        <is>
          <t>MVP</t>
        </is>
      </c>
      <c r="K5" s="149" t="inlineStr">
        <is>
          <t>El sistema valida campos obligatorios y formatos. • No permite registrar un correo ya utilizado. • La contraseña cumple la política definida y nunca se almacena en texto plano.</t>
        </is>
      </c>
      <c r="L5" s="149" t="inlineStr">
        <is>
          <t>feat/auth-foundation</t>
        </is>
      </c>
      <c r="M5" s="149" t="inlineStr">
        <is>
          <t>Pendiente de vincular</t>
        </is>
      </c>
      <c r="N5" s="149" t="inlineStr">
        <is>
          <t>Registro implementado y probado en Auth.</t>
        </is>
      </c>
    </row>
    <row r="6" ht="43.5" customHeight="1" s="143">
      <c r="A6" s="144" t="inlineStr">
        <is>
          <t>HU-002</t>
        </is>
      </c>
      <c r="B6" s="144" t="inlineStr">
        <is>
          <t>Cuenta y acceso</t>
        </is>
      </c>
      <c r="C6" s="144" t="inlineStr">
        <is>
          <t>Como usuario, quiero iniciar sesión de forma segura, para acceder únicamente a las funciones que me corresponden.</t>
        </is>
      </c>
      <c r="D6" s="144" t="inlineStr">
        <is>
          <t>Inicio de sesión</t>
        </is>
      </c>
      <c r="E6" s="144" t="inlineStr">
        <is>
          <t>Done</t>
        </is>
      </c>
      <c r="F6" s="144" t="n">
        <v>3</v>
      </c>
      <c r="G6" s="144" t="inlineStr">
        <is>
          <t>Sprint 3</t>
        </is>
      </c>
      <c r="H6" s="144" t="inlineStr">
        <is>
          <t>Crítica</t>
        </is>
      </c>
      <c r="I6" s="144" t="inlineStr">
        <is>
          <t>RF-002</t>
        </is>
      </c>
      <c r="J6" s="144" t="inlineStr">
        <is>
          <t>MVP</t>
        </is>
      </c>
      <c r="K6" s="144" t="inlineStr">
        <is>
          <t>Credenciales válidas permiten acceder. • Credenciales inválidas no revelan si el correo existe. • El backend valida autenticación y rol para recursos protegidos.</t>
        </is>
      </c>
      <c r="L6" s="144" t="inlineStr">
        <is>
          <t>feat/auth-foundation / feat/rbac-institution-context</t>
        </is>
      </c>
      <c r="M6" s="144" t="inlineStr">
        <is>
          <t>Pendiente de vincular</t>
        </is>
      </c>
      <c r="N6" s="144" t="inlineStr">
        <is>
          <t>Login, refresh rotativo y logout implementados y probados.</t>
        </is>
      </c>
    </row>
    <row r="7" ht="43.5" customHeight="1" s="143">
      <c r="A7" s="144" t="inlineStr">
        <is>
          <t>HU-003</t>
        </is>
      </c>
      <c r="B7" s="144" t="inlineStr">
        <is>
          <t>Citas</t>
        </is>
      </c>
      <c r="C7" s="144" t="inlineStr">
        <is>
          <t>Como usuario, quiero buscar citas por servicio, sede y fecha o preferencia, para encontrar una atención compatible con mis necesidades.</t>
        </is>
      </c>
      <c r="D7" s="144" t="inlineStr">
        <is>
          <t>Buscar citas</t>
        </is>
      </c>
      <c r="E7" s="144" t="inlineStr">
        <is>
          <t>Done</t>
        </is>
      </c>
      <c r="F7" s="144" t="n">
        <v>5</v>
      </c>
      <c r="G7" s="144" t="inlineStr">
        <is>
          <t>Sprint 4</t>
        </is>
      </c>
      <c r="H7" s="144" t="inlineStr">
        <is>
          <t>Crítica</t>
        </is>
      </c>
      <c r="I7" s="144" t="inlineStr">
        <is>
          <t>RF-011 / RF-012</t>
        </is>
      </c>
      <c r="J7" s="144" t="inlineStr">
        <is>
          <t>MVP</t>
        </is>
      </c>
      <c r="K7" s="144" t="inlineStr">
        <is>
          <t>La búsqueda exige al menos un servicio. • Los resultados respetan filtros válidos de sede y fecha/preferencia. • No se muestran cupos bloqueados, ocupados o fuera de disponibilidad.</t>
        </is>
      </c>
      <c r="L7" s="144" t="inlineStr">
        <is>
          <t>feat/catalog-read-foundation / feat/availability-read-foundation / feat/web-api-integration · PR #43</t>
        </is>
      </c>
      <c r="M7" s="144" t="inlineStr">
        <is>
          <t>S5-T05 · PR #43</t>
        </is>
      </c>
      <c r="N7" s="144" t="inlineStr">
        <is>
          <t>Búsqueda funcional completada de punta a punta: institución/sede/servicio, consulta de disponibilidad y resultados reales en Web. Cierre funcional realizado en Sprint 5 sobre la base backend iniciada en Sprint 4; validación Web/API/PostgreSQL E2E 13/13 y revisión manual.</t>
        </is>
      </c>
    </row>
    <row r="8" ht="43.5" customHeight="1" s="143">
      <c r="A8" s="144" t="inlineStr">
        <is>
          <t>HU-004</t>
        </is>
      </c>
      <c r="B8" s="144" t="inlineStr">
        <is>
          <t>Citas</t>
        </is>
      </c>
      <c r="C8" s="144" t="inlineStr">
        <is>
          <t>Como usuario, quiero reservar un cupo disponible, para asegurar una atención en el horario seleccionado.</t>
        </is>
      </c>
      <c r="D8" s="144" t="inlineStr">
        <is>
          <t>Reservar una cita</t>
        </is>
      </c>
      <c r="E8" s="144" t="inlineStr">
        <is>
          <t>Done</t>
        </is>
      </c>
      <c r="F8" s="144" t="n">
        <v>5</v>
      </c>
      <c r="G8" s="144" t="inlineStr">
        <is>
          <t>Sprint 5</t>
        </is>
      </c>
      <c r="H8" s="144" t="inlineStr">
        <is>
          <t>Crítica</t>
        </is>
      </c>
      <c r="I8" s="144" t="inlineStr">
        <is>
          <t>RF-013</t>
        </is>
      </c>
      <c r="J8" s="144" t="inlineStr">
        <is>
          <t>MVP</t>
        </is>
      </c>
      <c r="K8" s="144" t="inlineStr">
        <is>
          <t>El backend revalida el cupo dentro de una transacción Serializable. • Una reserva exitosa crea una sola cita activa con estado AGENDADA y origen WEB interno. • La actualización condicional AVAILABLE→RESERVED usa lockVersion. • UNIQUE(citas.cupo_id) evita doble asignación. • Concurrencia real verificada: un 201, un 409 y una sola cita.</t>
        </is>
      </c>
      <c r="L8" s="144" t="inlineStr">
        <is>
          <t>feat/appointments-booking-foundation · commit 7a6a80e · merge a main 9b3e5a7</t>
        </is>
      </c>
      <c r="M8" s="144" t="inlineStr">
        <is>
          <t>PR HU-004 fusionado</t>
        </is>
      </c>
      <c r="N8" s="144" t="inlineStr">
        <is>
          <t>Reserva transaccional implementada y validada. POST /api/v1/appointments; estado inicial AGENDADA; origen WEB interno; transacción Serializable; AVAILABLE→RESERVED con lockVersion; UNIQUE(citas.cupo_id) como segunda defensa; historial inicial. Validación final: 88/88 unitarios, E2E checkpoint 1/1 y E2E appointments 8/8.</t>
        </is>
      </c>
    </row>
    <row r="9" ht="43.5" customHeight="1" s="143">
      <c r="A9" s="144" t="inlineStr">
        <is>
          <t>HU-005</t>
        </is>
      </c>
      <c r="B9" s="144" t="inlineStr">
        <is>
          <t>Citas</t>
        </is>
      </c>
      <c r="C9" s="144" t="inlineStr">
        <is>
          <t>Como usuario, quiero visualizar mis citas y su estado, para saber cuándo debo asistir y qué acciones tengo disponibles.</t>
        </is>
      </c>
      <c r="D9" s="144" t="inlineStr">
        <is>
          <t>Consultar mis citas</t>
        </is>
      </c>
      <c r="E9" s="144" t="inlineStr">
        <is>
          <t>Done</t>
        </is>
      </c>
      <c r="F9" s="144" t="n">
        <v>3</v>
      </c>
      <c r="G9" s="144" t="inlineStr">
        <is>
          <t>Sprint 5</t>
        </is>
      </c>
      <c r="H9" s="144" t="inlineStr">
        <is>
          <t>Alta</t>
        </is>
      </c>
      <c r="I9" s="144" t="inlineStr">
        <is>
          <t>RF-014</t>
        </is>
      </c>
      <c r="J9" s="144" t="inlineStr">
        <is>
          <t>MVP</t>
        </is>
      </c>
      <c r="K9" s="144" t="inlineStr">
        <is>
          <t>El usuario sólo ve sus propias citas. • Se muestran fecha, hora, servicio, sede, profesional y estado aplicable. • Las acciones disponibles dependen del estado y permisos.</t>
        </is>
      </c>
      <c r="L9" s="144" t="inlineStr">
        <is>
          <t>commit 89d15a8 · GET /api/v1/appointments/me</t>
        </is>
      </c>
      <c r="M9" s="144" t="inlineStr">
        <is>
          <t>HU-005 creada en GitHub Projects</t>
        </is>
      </c>
      <c r="N9" s="144" t="inlineStr">
        <is>
          <t>Consulta autenticada de citas propias implementada. Aislamiento por AuthenticatedPrincipal, DTO público controlado, orden startsAt ASC/id ASC. Validación al cierre de HU-005: 96/96 unitarios, appointments E2E 14/14 y checkpoint 1/1.</t>
        </is>
      </c>
    </row>
    <row r="10" ht="43.5" customHeight="1" s="143">
      <c r="A10" s="144" t="inlineStr">
        <is>
          <t>HU-006</t>
        </is>
      </c>
      <c r="B10" s="144" t="inlineStr">
        <is>
          <t>Citas</t>
        </is>
      </c>
      <c r="C10" s="144" t="inlineStr">
        <is>
          <t>Como usuario, quiero cancelar una cita que no podré utilizar, para liberar el cupo y mantener mi agenda actualizada.</t>
        </is>
      </c>
      <c r="D10" s="144" t="inlineStr">
        <is>
          <t>Cancelar una cita</t>
        </is>
      </c>
      <c r="E10" s="144" t="inlineStr">
        <is>
          <t>Done</t>
        </is>
      </c>
      <c r="F10" s="144" t="n">
        <v>5</v>
      </c>
      <c r="G10" s="144" t="inlineStr">
        <is>
          <t>Sprint 5</t>
        </is>
      </c>
      <c r="H10" s="144" t="inlineStr">
        <is>
          <t>Crítica</t>
        </is>
      </c>
      <c r="I10" s="144" t="inlineStr">
        <is>
          <t>RF-015</t>
        </is>
      </c>
      <c r="J10" s="144" t="inlineStr">
        <is>
          <t>MVP</t>
        </is>
      </c>
      <c r="K10" s="144" t="inlineStr">
        <is>
          <t>Sólo el titular o un rol autorizado puede cancelar. • La cancelación cambia el estado de la cita y queda auditada. • Si el cupo es reutilizable, queda disponible para el proceso de reasignación.</t>
        </is>
      </c>
      <c r="L10" s="144" t="inlineStr">
        <is>
          <t>feat/appointments-cancellation · commit 9c62153 · PR #37</t>
        </is>
      </c>
      <c r="M10" s="144" t="inlineStr">
        <is>
          <t>CitaJusta #32 · PR #37</t>
        </is>
      </c>
      <c r="N10" s="144" t="inlineStr">
        <is>
          <t>Cancelación transaccional e idempotente implementada: AGENDADA → CANCELADA y AgendaSlot RESERVED → RELEASED, sin volver a AVAILABLE. Concurrencia validada 200/200 sin doble efecto. Validación actual: 114/114 unitarios, appointments E2E 22/22, checkpoint 1/1 y build aprobado.</t>
        </is>
      </c>
    </row>
    <row r="11" ht="43.5" customHeight="1" s="143">
      <c r="A11" s="144" t="inlineStr">
        <is>
          <t>HU-007</t>
        </is>
      </c>
      <c r="B11" s="144" t="inlineStr">
        <is>
          <t>Lista de espera</t>
        </is>
      </c>
      <c r="C11" s="144" t="inlineStr">
        <is>
          <t>Como usuario, quiero ingresar a una lista de espera cuando no haya disponibilidad adecuada, para tener la posibilidad de recibir un cupo que se libere.</t>
        </is>
      </c>
      <c r="D11" s="144" t="inlineStr">
        <is>
          <t>Ingresar a lista de espera</t>
        </is>
      </c>
      <c r="E11" s="144" t="inlineStr">
        <is>
          <t>Done</t>
        </is>
      </c>
      <c r="F11" s="144" t="n">
        <v>5</v>
      </c>
      <c r="G11" s="144" t="inlineStr">
        <is>
          <t>Sprint 5</t>
        </is>
      </c>
      <c r="H11" s="144" t="inlineStr">
        <is>
          <t>Crítica</t>
        </is>
      </c>
      <c r="I11" s="144" t="inlineStr">
        <is>
          <t>RF-018 / RF-019</t>
        </is>
      </c>
      <c r="J11" s="144" t="inlineStr">
        <is>
          <t>MVP</t>
        </is>
      </c>
      <c r="K11" s="144" t="inlineStr">
        <is>
          <t>Sólo se permite una espera activa equivalente cuando así lo defina la regla de negocio. • Se registran servicio, sede/preferencias y fecha de ingreso. • El usuario puede consultar el estado de la espera.</t>
        </is>
      </c>
      <c r="L11" s="144" t="inlineStr">
        <is>
          <t>feat/waitlist-entry</t>
        </is>
      </c>
      <c r="M11" s="144" t="inlineStr">
        <is>
          <t>HU-007 · Done</t>
        </is>
      </c>
      <c r="N11" s="144" t="inlineStr">
        <is>
          <t>Alta y consulta de lista de espera implementadas y validadas contra PostgreSQL real.</t>
        </is>
      </c>
    </row>
    <row r="12" ht="43.5" customHeight="1" s="143">
      <c r="A12" s="144" t="inlineStr">
        <is>
          <t>HU-008</t>
        </is>
      </c>
      <c r="B12" s="144" t="inlineStr">
        <is>
          <t>Lista de espera</t>
        </is>
      </c>
      <c r="C12" s="144" t="inlineStr">
        <is>
          <t>Como usuario, quiero indicar y modificar mis días, horarios y sede preferidos, para recibir solamente ofertas que pueda utilizar.</t>
        </is>
      </c>
      <c r="D12" s="144" t="inlineStr">
        <is>
          <t>Gestionar preferencias de espera</t>
        </is>
      </c>
      <c r="E12" s="144" t="inlineStr">
        <is>
          <t>Done</t>
        </is>
      </c>
      <c r="F12" s="144" t="n">
        <v>5</v>
      </c>
      <c r="G12" s="144" t="inlineStr">
        <is>
          <t>Sprint 5</t>
        </is>
      </c>
      <c r="H12" s="144" t="inlineStr">
        <is>
          <t>Alta</t>
        </is>
      </c>
      <c r="I12" s="144" t="inlineStr">
        <is>
          <t>RF-019 / RF-021</t>
        </is>
      </c>
      <c r="J12" s="144" t="inlineStr">
        <is>
          <t>MVP</t>
        </is>
      </c>
      <c r="K12" s="144" t="inlineStr">
        <is>
          <t>Las preferencias deben usar valores válidos. • Los cambios aplican a futuras evaluaciones de compatibilidad. • El usuario puede retirarse de una espera activa y el cambio queda persistido.</t>
        </is>
      </c>
      <c r="L12" s="144" t="inlineStr">
        <is>
          <t>feat/waitlist-preferences</t>
        </is>
      </c>
      <c r="M12" s="144" t="inlineStr">
        <is>
          <t>HU-008 · Done</t>
        </is>
      </c>
      <c r="N12" s="144" t="inlineStr">
        <is>
          <t>Preferencias y retiro implementados; E2E HU-007/HU-008 real 24/24 PASS.</t>
        </is>
      </c>
    </row>
    <row r="13" ht="43.5" customHeight="1" s="143">
      <c r="A13" s="144" t="inlineStr">
        <is>
          <t>HU-009</t>
        </is>
      </c>
      <c r="B13" s="144" t="inlineStr">
        <is>
          <t>Ofertas</t>
        </is>
      </c>
      <c r="C13" s="144" t="inlineStr">
        <is>
          <t>Como usuario en lista de espera, quiero recibir una oferta cuando se libere un cupo compatible, para decidir si deseo tomarlo.</t>
        </is>
      </c>
      <c r="D13" s="144" t="inlineStr">
        <is>
          <t>Recibir oferta de cupo liberado</t>
        </is>
      </c>
      <c r="E13" s="144" t="inlineStr">
        <is>
          <t>Done</t>
        </is>
      </c>
      <c r="F13" s="144" t="n">
        <v>8</v>
      </c>
      <c r="G13" s="144" t="inlineStr">
        <is>
          <t>Sprint 6</t>
        </is>
      </c>
      <c r="H13" s="144" t="inlineStr">
        <is>
          <t>Crítica</t>
        </is>
      </c>
      <c r="I13" s="144" t="inlineStr">
        <is>
          <t>RF-022 a RF-027 / RF-034</t>
        </is>
      </c>
      <c r="J13" s="144" t="inlineStr">
        <is>
          <t>MVP</t>
        </is>
      </c>
      <c r="K13" s="144" t="inlineStr">
        <is>
          <t>La oferta sólo se genera para un candidato compatible. • La oferta posee fecha/hora de expiración persistida. • El usuario es notificado dentro de CitaJusta.</t>
        </is>
      </c>
      <c r="L13" s="144" t="inlineStr">
        <is>
          <t>feat/reassignment-offers</t>
        </is>
      </c>
      <c r="M13" s="144" t="inlineStr">
        <is>
          <t>HU-009 · Done</t>
        </is>
      </c>
      <c r="N13" s="144" t="inlineStr">
        <is>
          <t>Generación de oferta, ranking/snapshot y TTL implementados en backend.</t>
        </is>
      </c>
    </row>
    <row r="14" ht="43.5" customHeight="1" s="143">
      <c r="A14" s="144" t="inlineStr">
        <is>
          <t>HU-010</t>
        </is>
      </c>
      <c r="B14" s="144" t="inlineStr">
        <is>
          <t>Ofertas</t>
        </is>
      </c>
      <c r="C14" s="144" t="inlineStr">
        <is>
          <t>Como usuario, quiero aceptar una oferta vigente, para obtener el cupo liberado de manera segura.</t>
        </is>
      </c>
      <c r="D14" s="144" t="inlineStr">
        <is>
          <t>Aceptar una oferta</t>
        </is>
      </c>
      <c r="E14" s="144" t="inlineStr">
        <is>
          <t>Done</t>
        </is>
      </c>
      <c r="F14" s="144" t="n">
        <v>8</v>
      </c>
      <c r="G14" s="144" t="inlineStr">
        <is>
          <t>Sprint 6</t>
        </is>
      </c>
      <c r="H14" s="144" t="inlineStr">
        <is>
          <t>Crítica</t>
        </is>
      </c>
      <c r="I14" s="144" t="inlineStr">
        <is>
          <t>RF-027</t>
        </is>
      </c>
      <c r="J14" s="144" t="inlineStr">
        <is>
          <t>MVP</t>
        </is>
      </c>
      <c r="K14" s="144" t="inlineStr">
        <is>
          <t>Sólo el destinatario puede aceptar la oferta. • La oferta debe estar vigente y el cupo disponible. • La aceptación se ejecuta transaccionalmente.</t>
        </is>
      </c>
      <c r="L14" s="144" t="inlineStr">
        <is>
          <t>feat/accept-reassignment-offer</t>
        </is>
      </c>
      <c r="M14" s="144" t="inlineStr">
        <is>
          <t>HU-010 · Done</t>
        </is>
      </c>
      <c r="N14" s="144" t="inlineStr">
        <is>
          <t>Aceptación transaccional e idempotente implementada con transferencia segura de la cita.</t>
        </is>
      </c>
    </row>
    <row r="15" ht="43.5" customHeight="1" s="143">
      <c r="A15" s="144" t="inlineStr">
        <is>
          <t>HU-011</t>
        </is>
      </c>
      <c r="B15" s="144" t="inlineStr">
        <is>
          <t>Ofertas</t>
        </is>
      </c>
      <c r="C15" s="144" t="inlineStr">
        <is>
          <t>Como usuario, quiero rechazar una oferta que no puedo utilizar, para que el sistema pueda continuar con otro candidato.</t>
        </is>
      </c>
      <c r="D15" s="144" t="inlineStr">
        <is>
          <t>Rechazar una oferta</t>
        </is>
      </c>
      <c r="E15" s="144" t="inlineStr">
        <is>
          <t>Done</t>
        </is>
      </c>
      <c r="F15" s="144" t="n">
        <v>3</v>
      </c>
      <c r="G15" s="144" t="inlineStr">
        <is>
          <t>Sprint 6</t>
        </is>
      </c>
      <c r="H15" s="144" t="inlineStr">
        <is>
          <t>Alta</t>
        </is>
      </c>
      <c r="I15" s="144" t="inlineStr">
        <is>
          <t>RF-028</t>
        </is>
      </c>
      <c r="J15" s="144" t="inlineStr">
        <is>
          <t>MVP</t>
        </is>
      </c>
      <c r="K15" s="144" t="inlineStr">
        <is>
          <t>Sólo el destinatario puede rechazar. • La oferta cambia a estado rechazado. • El cupo puede continuar con el siguiente candidato válido.</t>
        </is>
      </c>
      <c r="L15" s="144" t="inlineStr">
        <is>
          <t>feat/reject-reassignment-offer</t>
        </is>
      </c>
      <c r="M15" s="144" t="inlineStr">
        <is>
          <t>HU-011 · Done</t>
        </is>
      </c>
      <c r="N15" s="144" t="inlineStr">
        <is>
          <t>Rechazo y continuidad/exhaustión del flujo implementados.</t>
        </is>
      </c>
    </row>
    <row r="16" ht="43.5" customHeight="1" s="143">
      <c r="A16" s="144" t="inlineStr">
        <is>
          <t>HU-012</t>
        </is>
      </c>
      <c r="B16" s="144" t="inlineStr">
        <is>
          <t>Administración</t>
        </is>
      </c>
      <c r="C16" s="144" t="inlineStr">
        <is>
          <t>Como administrador institucional, quiero administrar sedes y servicios, para configurar correctamente la oferta de atención de mi institución.</t>
        </is>
      </c>
      <c r="D16" s="144" t="inlineStr">
        <is>
          <t>Gestionar servicios y sedes</t>
        </is>
      </c>
      <c r="E16" s="144" t="inlineStr">
        <is>
          <t>Done</t>
        </is>
      </c>
      <c r="F16" s="144" t="n">
        <v>5</v>
      </c>
      <c r="G16" s="144" t="inlineStr">
        <is>
          <t>Sprint 4</t>
        </is>
      </c>
      <c r="H16" s="144" t="inlineStr">
        <is>
          <t>Alta</t>
        </is>
      </c>
      <c r="I16" s="144" t="inlineStr">
        <is>
          <t>RF-005 a RF-007</t>
        </is>
      </c>
      <c r="J16" s="144" t="inlineStr">
        <is>
          <t>MVP</t>
        </is>
      </c>
      <c r="K16" s="144" t="inlineStr">
        <is>
          <t>Sólo roles autorizados pueden crear o modificar datos institucionales. • Una sede pertenece a una institución válida. • Un servicio puede activarse o desactivarse sin borrar su historial.</t>
        </is>
      </c>
      <c r="L16" s="144" t="inlineStr">
        <is>
          <t>feat/catalog-administration</t>
        </is>
      </c>
      <c r="M16" s="144" t="inlineStr">
        <is>
          <t>HU-012 · Done</t>
        </is>
      </c>
      <c r="N16" s="144" t="inlineStr">
        <is>
          <t>Administración de sedes/servicios implementada con permisos y activación/desactivación.</t>
        </is>
      </c>
    </row>
    <row r="17" ht="43.5" customHeight="1" s="143">
      <c r="A17" s="144" t="inlineStr">
        <is>
          <t>HU-013</t>
        </is>
      </c>
      <c r="B17" s="144" t="inlineStr">
        <is>
          <t>Administración</t>
        </is>
      </c>
      <c r="C17" s="144" t="inlineStr">
        <is>
          <t>Como administrador institucional, quiero registrar profesionales y asociarlos a servicios y sedes, para construir la agenda institucional.</t>
        </is>
      </c>
      <c r="D17" s="144" t="inlineStr">
        <is>
          <t>Gestionar profesionales</t>
        </is>
      </c>
      <c r="E17" s="144" t="inlineStr">
        <is>
          <t>Done</t>
        </is>
      </c>
      <c r="F17" s="144" t="n">
        <v>5</v>
      </c>
      <c r="G17" s="144" t="inlineStr">
        <is>
          <t>Sprint 4</t>
        </is>
      </c>
      <c r="H17" s="144" t="inlineStr">
        <is>
          <t>Alta</t>
        </is>
      </c>
      <c r="I17" s="144" t="inlineStr">
        <is>
          <t>RF-008</t>
        </is>
      </c>
      <c r="J17" s="144" t="inlineStr">
        <is>
          <t>MVP</t>
        </is>
      </c>
      <c r="K17" s="144" t="inlineStr">
        <is>
          <t>El profesional se asocia a una institución y a servicios válidos. • No se crean asociaciones duplicadas equivalentes. • Los cambios relevantes quedan auditados.</t>
        </is>
      </c>
      <c r="L17" s="144" t="inlineStr">
        <is>
          <t>feat/professional-administration</t>
        </is>
      </c>
      <c r="M17" s="144" t="inlineStr">
        <is>
          <t>HU-013 · Done</t>
        </is>
      </c>
      <c r="N17" s="144" t="inlineStr">
        <is>
          <t>Administración de profesionales y asociaciones implementada.</t>
        </is>
      </c>
    </row>
    <row r="18" ht="43.5" customHeight="1" s="143">
      <c r="A18" s="144" t="inlineStr">
        <is>
          <t>HU-014</t>
        </is>
      </c>
      <c r="B18" s="144" t="inlineStr">
        <is>
          <t>Agenda</t>
        </is>
      </c>
      <c r="C18" s="144" t="inlineStr">
        <is>
          <t>Como usuario autorizado, quiero configurar disponibilidad, bloqueos e indisponibilidades, para evitar que se ofrezcan horarios no atendibles.</t>
        </is>
      </c>
      <c r="D18" s="144" t="inlineStr">
        <is>
          <t>Configurar disponibilidad</t>
        </is>
      </c>
      <c r="E18" s="144" t="inlineStr">
        <is>
          <t>Done</t>
        </is>
      </c>
      <c r="F18" s="144" t="n">
        <v>8</v>
      </c>
      <c r="G18" s="144" t="inlineStr">
        <is>
          <t>Sprint 4</t>
        </is>
      </c>
      <c r="H18" s="144" t="inlineStr">
        <is>
          <t>Crítica</t>
        </is>
      </c>
      <c r="I18" s="144" t="inlineStr">
        <is>
          <t>RF-009</t>
        </is>
      </c>
      <c r="J18" s="144" t="inlineStr">
        <is>
          <t>MVP</t>
        </is>
      </c>
      <c r="K18" s="144" t="inlineStr">
        <is>
          <t>No se aceptan rangos inválidos o superpuestos cuando generen conflicto. • Los bloqueos impiden nuevas reservas en el periodo afectado. • La agenda refleja los cambios de disponibilidad.</t>
        </is>
      </c>
      <c r="L18" s="144" t="inlineStr">
        <is>
          <t>feat/availability-administration</t>
        </is>
      </c>
      <c r="M18" s="144" t="inlineStr">
        <is>
          <t>HU-014 · Done</t>
        </is>
      </c>
      <c r="N18" s="144" t="inlineStr">
        <is>
          <t>Disponibilidad, materialización de cupos y bloqueos implementados.</t>
        </is>
      </c>
    </row>
    <row r="19" ht="43.5" customHeight="1" s="143">
      <c r="A19" s="144" t="inlineStr">
        <is>
          <t>HU-015</t>
        </is>
      </c>
      <c r="B19" s="144" t="inlineStr">
        <is>
          <t>Agenda</t>
        </is>
      </c>
      <c r="C19" s="144" t="inlineStr">
        <is>
          <t>Como funcionario, quiero consultar la agenda por fecha, sede, servicio, profesional y estado, para gestionar la operación diaria.</t>
        </is>
      </c>
      <c r="D19" s="144" t="inlineStr">
        <is>
          <t>Consultar agenda institucional</t>
        </is>
      </c>
      <c r="E19" s="144" t="inlineStr">
        <is>
          <t>Done</t>
        </is>
      </c>
      <c r="F19" s="144" t="n">
        <v>5</v>
      </c>
      <c r="G19" s="144" t="inlineStr">
        <is>
          <t>Sprint 4</t>
        </is>
      </c>
      <c r="H19" s="144" t="inlineStr">
        <is>
          <t>Alta</t>
        </is>
      </c>
      <c r="I19" s="144" t="inlineStr">
        <is>
          <t>RF-010</t>
        </is>
      </c>
      <c r="J19" s="144" t="inlineStr">
        <is>
          <t>MVP</t>
        </is>
      </c>
      <c r="K19" s="144" t="inlineStr">
        <is>
          <t>La agenda puede filtrarse por los criterios definidos. • Cada cita muestra estado y datos operativos relevantes. • El usuario sólo consulta sedes/recursos dentro de su ámbito autorizado.</t>
        </is>
      </c>
      <c r="L19" s="144" t="inlineStr">
        <is>
          <t>feat/institutional-agenda</t>
        </is>
      </c>
      <c r="M19" s="144" t="inlineStr">
        <is>
          <t>HU-015 · Done</t>
        </is>
      </c>
      <c r="N19" s="144" t="inlineStr">
        <is>
          <t>Agenda institucional con filtros y trazabilidad de estados implementada.</t>
        </is>
      </c>
    </row>
    <row r="20" ht="43.5" customHeight="1" s="143">
      <c r="A20" s="144" t="inlineStr">
        <is>
          <t>HU-016</t>
        </is>
      </c>
      <c r="B20" s="144" t="inlineStr">
        <is>
          <t>Reasignación</t>
        </is>
      </c>
      <c r="C20" s="144" t="inlineStr">
        <is>
          <t>Como funcionario autorizado, quiero visualizar el cupo liberado, candidatos evaluados, oferta y estado del flujo, para supervisar la reasignación automática.</t>
        </is>
      </c>
      <c r="D20" s="144" t="inlineStr">
        <is>
          <t>Supervisar una reasignación</t>
        </is>
      </c>
      <c r="E20" s="144" t="inlineStr">
        <is>
          <t>Done</t>
        </is>
      </c>
      <c r="F20" s="144" t="n">
        <v>8</v>
      </c>
      <c r="G20" s="144" t="inlineStr">
        <is>
          <t>Sprint 6</t>
        </is>
      </c>
      <c r="H20" s="144" t="inlineStr">
        <is>
          <t>Crítica</t>
        </is>
      </c>
      <c r="I20" s="144" t="inlineStr">
        <is>
          <t>RF-032 / RF-033</t>
        </is>
      </c>
      <c r="J20" s="144" t="inlineStr">
        <is>
          <t>MVP</t>
        </is>
      </c>
      <c r="K20" s="144" t="inlineStr">
        <is>
          <t>El flujo muestra al menos cupo, candidatos, oferta y estado actual. • La vista distingue operación automática de intervención manual autorizada. • Cada paso crítico posee trazabilidad.</t>
        </is>
      </c>
      <c r="L20" s="144" t="inlineStr">
        <is>
          <t>feat/reassignment-supervision</t>
        </is>
      </c>
      <c r="M20" s="144" t="inlineStr">
        <is>
          <t>HU-016 · Done</t>
        </is>
      </c>
      <c r="N20" s="144" t="inlineStr">
        <is>
          <t>Consulta read-only de reasignación con trazabilidad y política implementada.</t>
        </is>
      </c>
    </row>
    <row r="21" ht="43.5" customHeight="1" s="143">
      <c r="A21" s="144" t="inlineStr">
        <is>
          <t>HU-017</t>
        </is>
      </c>
      <c r="B21" s="144" t="inlineStr">
        <is>
          <t>Operación</t>
        </is>
      </c>
      <c r="C21" s="144" t="inlineStr">
        <is>
          <t>Como funcionario o profesional autorizado, quiero registrar asistencia o inasistencia, para mantener el historial operativo y apoyar las reglas institucionales.</t>
        </is>
      </c>
      <c r="D21" s="144" t="inlineStr">
        <is>
          <t>Registrar asistencia e inasistencia</t>
        </is>
      </c>
      <c r="E21" s="144" t="inlineStr">
        <is>
          <t>Done</t>
        </is>
      </c>
      <c r="F21" s="144" t="n">
        <v>3</v>
      </c>
      <c r="G21" s="144" t="inlineStr">
        <is>
          <t>Sprint 5</t>
        </is>
      </c>
      <c r="H21" s="144" t="inlineStr">
        <is>
          <t>Media</t>
        </is>
      </c>
      <c r="I21" s="144" t="inlineStr">
        <is>
          <t>RF-017</t>
        </is>
      </c>
      <c r="J21" s="144" t="inlineStr">
        <is>
          <t>Objetivo</t>
        </is>
      </c>
      <c r="K21" s="144" t="inlineStr">
        <is>
          <t>Sólo roles autorizados registran asistencia/inasistencia. • No se registra asistencia sobre una cita cancelada. • El cambio queda persistido y auditado.</t>
        </is>
      </c>
      <c r="L21" s="144" t="inlineStr">
        <is>
          <t>feat/appointment-attendance</t>
        </is>
      </c>
      <c r="M21" s="144" t="inlineStr">
        <is>
          <t>HU-017 · Done</t>
        </is>
      </c>
      <c r="N21" s="144" t="inlineStr">
        <is>
          <t>Registro de ATENDIDA/INASISTENCIA implementado con control de transiciones.</t>
        </is>
      </c>
    </row>
    <row r="22" ht="43.5" customHeight="1" s="143">
      <c r="A22" s="144" t="inlineStr">
        <is>
          <t>HU-018</t>
        </is>
      </c>
      <c r="B22" s="144" t="inlineStr">
        <is>
          <t>Administración</t>
        </is>
      </c>
      <c r="C22" s="144" t="inlineStr">
        <is>
          <t>Como administrador institucional, quiero configurar parámetros permitidos de priorización, para adaptar la reasignación a las políticas de la institución.</t>
        </is>
      </c>
      <c r="D22" s="144" t="inlineStr">
        <is>
          <t>Configurar reglas de reasignación</t>
        </is>
      </c>
      <c r="E22" s="144" t="inlineStr">
        <is>
          <t>Done</t>
        </is>
      </c>
      <c r="F22" s="144" t="n">
        <v>8</v>
      </c>
      <c r="G22" s="144" t="inlineStr">
        <is>
          <t>Sprint 6</t>
        </is>
      </c>
      <c r="H22" s="144" t="inlineStr">
        <is>
          <t>Alta</t>
        </is>
      </c>
      <c r="I22" s="144" t="inlineStr">
        <is>
          <t>Pendiente trazabilidad RF</t>
        </is>
      </c>
      <c r="J22" s="144" t="inlineStr">
        <is>
          <t>Objetivo</t>
        </is>
      </c>
      <c r="K22" s="144" t="inlineStr">
        <is>
          <t>Sólo administradores autorizados pueden cambiar parámetros. • Los valores deben respetar límites definidos por el sistema. • Los cambios quedan versionados o auditados y no alteran retroactivamente decisiones cerradas.</t>
        </is>
      </c>
      <c r="L22" s="144" t="inlineStr">
        <is>
          <t>feat/reassignment-policy</t>
        </is>
      </c>
      <c r="M22" s="144" t="inlineStr">
        <is>
          <t>HU-018 · Done</t>
        </is>
      </c>
      <c r="N22" s="144" t="inlineStr">
        <is>
          <t>Políticas versionadas e inmutables de reasignación implementadas.</t>
        </is>
      </c>
    </row>
    <row r="23" ht="43.5" customHeight="1" s="143">
      <c r="A23" s="144" t="inlineStr">
        <is>
          <t>HU-019</t>
        </is>
      </c>
      <c r="B23" s="144" t="inlineStr">
        <is>
          <t>Reportes</t>
        </is>
      </c>
      <c r="C23" s="144" t="inlineStr">
        <is>
          <t>Como administrador, quiero consultar indicadores de cancelaciones, ofertas y cupos recuperados, para evaluar el desempeño de la agenda.</t>
        </is>
      </c>
      <c r="D23" s="144" t="inlineStr">
        <is>
          <t>Consultar indicadores</t>
        </is>
      </c>
      <c r="E23" s="144" t="inlineStr">
        <is>
          <t>Done</t>
        </is>
      </c>
      <c r="F23" s="144" t="n">
        <v>5</v>
      </c>
      <c r="G23" s="144" t="inlineStr">
        <is>
          <t>Sprint 7</t>
        </is>
      </c>
      <c r="H23" s="144" t="inlineStr">
        <is>
          <t>Media</t>
        </is>
      </c>
      <c r="I23" s="144" t="inlineStr">
        <is>
          <t>RF-037</t>
        </is>
      </c>
      <c r="J23" s="144" t="inlineStr">
        <is>
          <t>Objetivo</t>
        </is>
      </c>
      <c r="K23" s="144" t="inlineStr">
        <is>
          <t>Los indicadores se calculan a partir de datos persistidos. • Los filtros respetan el ámbito institucional. • Los resultados distinguen cancelaciones, ofertas, aceptaciones, expiraciones y cupos recuperados cuando corresponda.</t>
        </is>
      </c>
      <c r="L23" s="144" t="inlineStr">
        <is>
          <t>feat/reports-indicators · PR #84</t>
        </is>
      </c>
      <c r="M23" s="144" t="inlineStr">
        <is>
          <t>HU-019 · Done</t>
        </is>
      </c>
      <c r="N23" s="144" t="inlineStr">
        <is>
          <t>Indicadores institucionales implementados y validados.</t>
        </is>
      </c>
    </row>
    <row r="24" ht="43.5" customHeight="1" s="143">
      <c r="A24" s="153" t="inlineStr">
        <is>
          <t>HU-020</t>
        </is>
      </c>
      <c r="B24" s="153" t="inlineStr">
        <is>
          <t>Auditoría</t>
        </is>
      </c>
      <c r="C24" s="153" t="inlineStr">
        <is>
          <t>Como auditor autorizado, quiero consultar la bitácora de operaciones relevantes, para reconstruir qué ocurrió, cuándo y por quién.</t>
        </is>
      </c>
      <c r="D24" s="153" t="inlineStr">
        <is>
          <t>Consultar trazabilidad</t>
        </is>
      </c>
      <c r="E24" s="153" t="inlineStr">
        <is>
          <t>Done</t>
        </is>
      </c>
      <c r="F24" s="153" t="n">
        <v>5</v>
      </c>
      <c r="G24" s="153" t="inlineStr">
        <is>
          <t>Sprint 7</t>
        </is>
      </c>
      <c r="H24" s="153" t="inlineStr">
        <is>
          <t>Alta</t>
        </is>
      </c>
      <c r="I24" s="153" t="inlineStr">
        <is>
          <t>RF-036</t>
        </is>
      </c>
      <c r="J24" s="153" t="inlineStr">
        <is>
          <t>Objetivo</t>
        </is>
      </c>
      <c r="K24" s="153" t="inlineStr">
        <is>
          <t>El auditor posee acceso de lectura sin capacidad de alterar eventos. • La bitácora permite identificar actor/sistema, fecha, acción y recurso afectado según corresponda. • Los logs no exponen secretos o credenciales.</t>
        </is>
      </c>
      <c r="L24" s="153" t="inlineStr">
        <is>
          <t>feat/audit-trail · PR #86</t>
        </is>
      </c>
      <c r="M24" s="153" t="inlineStr">
        <is>
          <t>HU-020 · Done</t>
        </is>
      </c>
      <c r="N24" s="153" t="inlineStr">
        <is>
          <t>Auditoría read-only e instrumentación de eventos relevantes implementadas y validadas.</t>
        </is>
      </c>
    </row>
    <row r="25" ht="67.5" customHeight="1" s="143">
      <c r="A25" s="151" t="inlineStr">
        <is>
          <t>HU-021</t>
        </is>
      </c>
      <c r="B25" s="151" t="inlineStr">
        <is>
          <t>Lista de espera</t>
        </is>
      </c>
      <c r="C25" s="151" t="inlineStr">
        <is>
          <t>Como usuario de CitaJusta, quiero gestionar desde la Web mi participación en listas de espera y sus preferencias, para inscribirme, ajustar mis condiciones de atención y retirarme cuando corresponda.</t>
        </is>
      </c>
      <c r="D25" s="151" t="inlineStr">
        <is>
          <t>Gestionar lista de espera y preferencias desde la Web</t>
        </is>
      </c>
      <c r="E25" s="153" t="inlineStr">
        <is>
          <t>Done</t>
        </is>
      </c>
      <c r="F25" s="151" t="inlineStr">
        <is>
          <t>Por estimar</t>
        </is>
      </c>
      <c r="G25" s="151" t="inlineStr">
        <is>
          <t>Sprint 5</t>
        </is>
      </c>
      <c r="H25" s="151" t="inlineStr">
        <is>
          <t>Alta</t>
        </is>
      </c>
      <c r="I25" s="151" t="inlineStr">
        <is>
          <t>HU-007 / HU-008 Web</t>
        </is>
      </c>
      <c r="J25" s="151" t="inlineStr">
        <is>
          <t>MVP</t>
        </is>
      </c>
      <c r="K25" s="151" t="inlineStr">
        <is>
          <t>El usuario autenticado puede consultar e ingresar a listas válidas. • Puede configurar días, rangos y sedes preferidas. • Puede retirarse. • La UI usa respuestas reales y no replica ranking/elegibilidad.</t>
        </is>
      </c>
      <c r="L25" s="151" t="inlineStr">
        <is>
          <t>feat/web-waitlist · PR #89 · merge c291d17</t>
        </is>
      </c>
      <c r="M25" s="151" t="inlineStr">
        <is>
          <t>HU-021 · Done</t>
        </is>
      </c>
      <c r="N25" s="151" t="inlineStr">
        <is>
          <t>Validación real Web + API + PostgreSQL: alta ACTIVE, preferencias persistentes y retiro. Web 56/56; development/seed 11/11; Waitlist E2E 24/24.</t>
        </is>
      </c>
    </row>
    <row r="26" ht="70.5" customHeight="1" s="143">
      <c r="A26" s="151" t="inlineStr">
        <is>
          <t>HU-022</t>
        </is>
      </c>
      <c r="B26" s="151" t="inlineStr">
        <is>
          <t>Ofertas</t>
        </is>
      </c>
      <c r="C26" s="151" t="inlineStr">
        <is>
          <t>Como usuario de CitaJusta, quiero visualizar y responder desde la Web las ofertas de reasignación que reciba, para aceptar una nueva hora compatible o rechazarla de forma segura.</t>
        </is>
      </c>
      <c r="D26" s="151" t="inlineStr">
        <is>
          <t>Gestionar ofertas de reasignación desde la Web</t>
        </is>
      </c>
      <c r="E26" s="153" t="inlineStr">
        <is>
          <t>Done</t>
        </is>
      </c>
      <c r="F26" s="151" t="inlineStr">
        <is>
          <t>Por estimar</t>
        </is>
      </c>
      <c r="G26" s="151" t="inlineStr">
        <is>
          <t>Sprint 6</t>
        </is>
      </c>
      <c r="H26" s="151" t="inlineStr">
        <is>
          <t>Crítica</t>
        </is>
      </c>
      <c r="I26" s="151" t="inlineStr">
        <is>
          <t>HU-009 / HU-010 / HU-011 Web</t>
        </is>
      </c>
      <c r="J26" s="151" t="inlineStr">
        <is>
          <t>MVP</t>
        </is>
      </c>
      <c r="K26" s="151" t="inlineStr">
        <is>
          <t>La Web muestra ofertas reales y su expiresAt. • Permite aceptar/rechazar mediante los endpoints reales. • La aceptación transfiere la cita existente. • El rechazo no crea una cita. • El cliente no recalcula elegibilidad ni ranking.</t>
        </is>
      </c>
      <c r="L26" s="151" t="inlineStr">
        <is>
          <t>feat/web-reassignment-offers · PR #93 · merge 5701ab7</t>
        </is>
      </c>
      <c r="M26" s="151" t="inlineStr">
        <is>
          <t>HU-022 · Done</t>
        </is>
      </c>
      <c r="N26" s="151" t="inlineStr">
        <is>
          <t>Validación completa Web + API + PostgreSQL: ACCEPT transfirió cita AGENDADA; REJECT no creó cita; oferta vencida deshabilitada sin mutación desde el cliente.</t>
        </is>
      </c>
    </row>
    <row r="27" ht="69.94999694824219" customHeight="1" s="143">
      <c r="A27" s="169" t="inlineStr">
        <is>
          <t>HU-023</t>
        </is>
      </c>
      <c r="B27" s="154" t="inlineStr">
        <is>
          <t>Ofertas / Reasignación</t>
        </is>
      </c>
      <c r="C27" s="154" t="inlineStr">
        <is>
          <t>Como sistema CitaJusta, quiero expirar automáticamente las ofertas vencidas y continuar con el siguiente candidato elegible, para recuperar cupos liberados sin depender de intervención manual.</t>
        </is>
      </c>
      <c r="D27" s="154" t="inlineStr">
        <is>
          <t>Automatizar expiración y continuidad de reasignación</t>
        </is>
      </c>
      <c r="E27" s="153" t="inlineStr">
        <is>
          <t>Done</t>
        </is>
      </c>
      <c r="F27" s="154" t="inlineStr">
        <is>
          <t>Por estimar</t>
        </is>
      </c>
      <c r="G27" s="154" t="inlineStr">
        <is>
          <t>Sprint 6</t>
        </is>
      </c>
      <c r="H27" s="154" t="inlineStr">
        <is>
          <t>Crítica</t>
        </is>
      </c>
      <c r="I27" s="154" t="inlineStr">
        <is>
          <t>RF-029 / RF-030 / RF-036</t>
        </is>
      </c>
      <c r="J27" s="154" t="inlineStr">
        <is>
          <t>MVP</t>
        </is>
      </c>
      <c r="K27" s="154" t="inlineStr">
        <is>
          <t>Una oferta PENDING vencida pasa de forma persistente a EXPIRED. • La continuidad genera como máximo una siguiente oferta. • Sin candidatos el proceso queda EXHAUSTED. • Cupo/contexto inutilizable cierra CANCELLED. • La operación es idempotente, transaccional y segura ante concurrencia.</t>
        </is>
      </c>
      <c r="L27" s="154" t="inlineStr">
        <is>
          <t>feat/automatic-offer-expiration · PR #96 · merge 109b1c9</t>
        </is>
      </c>
      <c r="M27" s="154" t="inlineStr">
        <is>
          <t>HU-023 · Done</t>
        </is>
      </c>
      <c r="N27" s="154" t="inlineStr">
        <is>
          <t>Runner interno sin dependencias nuevas. Auditoría OFFER_EXPIRED. Validación: API 368/368; E2E expiración 10/10; reasignaciones 20/20; audit 11/11; policy 13/13; reports 15/15; checkpoint 1/1.</t>
        </is>
      </c>
    </row>
    <row r="28" ht="69.94999694824219" customHeight="1" s="143">
      <c r="A28" s="152" t="inlineStr">
        <is>
          <t>HU-024</t>
        </is>
      </c>
      <c r="B28" s="152" t="inlineStr">
        <is>
          <t>Notificaciones</t>
        </is>
      </c>
      <c r="C28" s="152" t="inlineStr">
        <is>
          <t>Como usuario de CitaJusta, quiero recibir y consultar notificaciones internas sobre eventos importantes de mis citas, lista de espera y ofertas, para mantenerme informado sin depender de servicios externos.</t>
        </is>
      </c>
      <c r="D28" s="152" t="inlineStr">
        <is>
          <t>Implementar notificaciones internas</t>
        </is>
      </c>
      <c r="E28" s="153" t="inlineStr">
        <is>
          <t>Done</t>
        </is>
      </c>
      <c r="F28" s="152" t="inlineStr">
        <is>
          <t>Por estimar</t>
        </is>
      </c>
      <c r="G28" s="152" t="inlineStr">
        <is>
          <t>Sprint 6</t>
        </is>
      </c>
      <c r="H28" s="152" t="inlineStr">
        <is>
          <t>Alta</t>
        </is>
      </c>
      <c r="I28" s="152" t="inlineStr">
        <is>
          <t>RF-034</t>
        </is>
      </c>
      <c r="J28" s="152" t="inlineStr">
        <is>
          <t>MVP</t>
        </is>
      </c>
      <c r="K28" s="152" t="inlineStr">
        <is>
          <t>Las notificaciones se persisten dentro de las transacciones reales del dominio. • Sólo el destinatario autenticado puede consultarlas o marcarlas como leídas. • Reintentos idempotentes no generan duplicados. • La Web muestra contador, listado y lectura persistente.</t>
        </is>
      </c>
      <c r="L28" s="152" t="inlineStr">
        <is>
          <t>feat/internal-notifications · PR #99 · merge b1bff30</t>
        </is>
      </c>
      <c r="M28" s="152" t="inlineStr">
        <is>
          <t>HU-024 · Done</t>
        </is>
      </c>
      <c r="N28" s="152" t="inlineStr">
        <is>
          <t>Ocho eventos integrados. API /notifications/me + unread-count + read. Web /notificaciones. Validación: nuevos API 6/6; E2E notifications 8/8; API dirigida 157/157; regresión crítica 87/87; Web 83/83; prueba manual de lectura y logout/login PASS.</t>
        </is>
      </c>
    </row>
    <row r="29" ht="84.75" customHeight="1" s="143">
      <c r="A29" s="151" t="inlineStr">
        <is>
          <t>HU-025</t>
        </is>
      </c>
      <c r="B29" s="151" t="inlineStr">
        <is>
          <t>Reasignación</t>
        </is>
      </c>
      <c r="C29" s="151" t="inlineStr">
        <is>
          <t>Como sistema CitaJusta, quiero iniciar automáticamente la reasignación cuando una cancelación libera un cupo reutilizable, para ofrecerlo a candidatos compatibles sin intervención administrativa.</t>
        </is>
      </c>
      <c r="D29" s="151" t="inlineStr">
        <is>
          <t>Iniciar reasignación automática tras cancelación</t>
        </is>
      </c>
      <c r="E29" s="153" t="inlineStr">
        <is>
          <t>Done</t>
        </is>
      </c>
      <c r="F29" s="151" t="inlineStr">
        <is>
          <t>Por estimar</t>
        </is>
      </c>
      <c r="G29" s="151" t="inlineStr">
        <is>
          <t>Sprint 7</t>
        </is>
      </c>
      <c r="H29" s="151" t="inlineStr">
        <is>
          <t>Crítica</t>
        </is>
      </c>
      <c r="I29" s="151" t="inlineStr">
        <is>
          <t>Refuerzo RF-022 a RF-030</t>
        </is>
      </c>
      <c r="J29" s="151" t="inlineStr">
        <is>
          <t>MVP</t>
        </is>
      </c>
      <c r="K29" s="151" t="inlineStr">
        <is>
          <t>Una cancelación que libera un cupo reutilizable inicia la reasignación en la misma transacción. • No crea procesos/ofertas duplicados. • Sin candidatos elegibles queda EXHAUSTED. • Cupos no reutilizables permiten completar la cancelación sin procesos parciales.</t>
        </is>
      </c>
      <c r="L29" s="151" t="inlineStr">
        <is>
          <t>feat/automatic-reassignment-start · PR #105 · merge ea33e9f</t>
        </is>
      </c>
      <c r="M29" s="151" t="inlineStr">
        <is>
          <t>CitaJusta #103 · Done</t>
        </is>
      </c>
      <c r="N29" s="151" t="inlineStr">
        <is>
          <t>Validación: API 390/390; E2E automatic-start 8/8; build y regresión relacionada PASS. Inicio automático auditado como SYSTEM y cancelación como USER.</t>
        </is>
      </c>
    </row>
    <row r="30" ht="87.75" customHeight="1" s="143">
      <c r="A30" s="151" t="inlineStr">
        <is>
          <t>HU-026</t>
        </is>
      </c>
      <c r="B30" s="151" t="inlineStr">
        <is>
          <t>Citas</t>
        </is>
      </c>
      <c r="C30" s="151" t="inlineStr">
        <is>
          <t>Como usuario de CitaJusta, quiero elegir una fecha específica o una búsqueda flexible, para encontrar disponibilidad de acuerdo con el día en que necesito atenderme.</t>
        </is>
      </c>
      <c r="D30" s="151" t="inlineStr">
        <is>
          <t>Buscar disponibilidad por fecha específica</t>
        </is>
      </c>
      <c r="E30" s="153" t="inlineStr">
        <is>
          <t>Done</t>
        </is>
      </c>
      <c r="F30" s="151" t="inlineStr">
        <is>
          <t>Por estimar</t>
        </is>
      </c>
      <c r="G30" s="151" t="inlineStr">
        <is>
          <t>Sprint 7</t>
        </is>
      </c>
      <c r="H30" s="151" t="inlineStr">
        <is>
          <t>Alta</t>
        </is>
      </c>
      <c r="I30" s="151" t="inlineStr">
        <is>
          <t>RF-011 / RF-012</t>
        </is>
      </c>
      <c r="J30" s="151" t="inlineStr">
        <is>
          <t>MVP</t>
        </is>
      </c>
      <c r="K30" s="151" t="inlineStr">
        <is>
          <t>Permite Fecha específica mediante calendario o modo flexible 7/14/30 días. • Rechaza fechas pasadas. • Hoy inicia desde la hora actual. • Respeta calendario local y cambios DST. • Mantiene el mismo contrato from/to del backend.</t>
        </is>
      </c>
      <c r="L30" s="151" t="inlineStr">
        <is>
          <t>feat/availability-date-search · PR #107 · merge ec427a4</t>
        </is>
      </c>
      <c r="M30" s="151" t="inlineStr">
        <is>
          <t>HU-026 · Done</t>
        </is>
      </c>
      <c r="N30" s="151" t="inlineStr">
        <is>
          <t>Validación: fechas 10/10; UI 16/16; Web 95/95; typecheck/build PASS. Prueba manual: 4 cupos reales coincidentes entre búsqueda flexible y fecha específica.</t>
        </is>
      </c>
    </row>
    <row r="31" ht="69" customHeight="1" s="143">
      <c r="A31" s="167" t="inlineStr">
        <is>
          <t>HU-027</t>
        </is>
      </c>
      <c r="B31" s="167" t="inlineStr">
        <is>
          <t>Desktop institucional</t>
        </is>
      </c>
      <c r="C31" s="167" t="inlineStr">
        <is>
          <t>Inicializar la aplicación institucional de escritorio con Tauri + React + TypeScript para disponer de una base nativa que consuma la misma API REST de CitaJusta.</t>
        </is>
      </c>
      <c r="D31" s="167" t="inlineStr">
        <is>
          <t>Inicializar aplicación Desktop institucional con Tauri</t>
        </is>
      </c>
      <c r="E31" s="153" t="inlineStr">
        <is>
          <t>Done</t>
        </is>
      </c>
      <c r="F31" s="167" t="inlineStr">
        <is>
          <t>Por estimar</t>
        </is>
      </c>
      <c r="G31" s="167" t="inlineStr">
        <is>
          <t>Sprint 7</t>
        </is>
      </c>
      <c r="H31" s="167" t="inlineStr">
        <is>
          <t>Alta</t>
        </is>
      </c>
      <c r="I31" s="167" t="inlineStr">
        <is>
          <t>Fundación Desktop / interfaz institucional</t>
        </is>
      </c>
      <c r="J31" s="167" t="inlineStr">
        <is>
          <t>Objetivo</t>
        </is>
      </c>
      <c r="K31" s="167" t="inlineStr">
        <is>
          <t>Existe apps/desktop dentro del monorepo. • Tauri 2 + React/Vite/TypeScript compila y abre correctamente. • La shell institucional queda preparada sin duplicar reglas de negocio en Rust/Tauri.</t>
        </is>
      </c>
      <c r="L31" s="167" t="inlineStr">
        <is>
          <t>feat/desktop-tauri-foundation · commit 01ff1b1 · PR #112 · merge 6adab82</t>
        </is>
      </c>
      <c r="M31" s="167" t="inlineStr">
        <is>
          <t>HU-027 · Done</t>
        </is>
      </c>
      <c r="N31" s="167" t="inlineStr">
        <is>
          <t>Fundación Desktop creada y validada con build frontend, cargo check y ejecución nativa Tauri.</t>
        </is>
      </c>
    </row>
    <row r="32" ht="63" customHeight="1" s="143">
      <c r="A32" s="151" t="inlineStr">
        <is>
          <t>HU-028</t>
        </is>
      </c>
      <c r="B32" s="151" t="inlineStr">
        <is>
          <t>Desktop institucional</t>
        </is>
      </c>
      <c r="C32" s="151" t="inlineStr">
        <is>
          <t>Como usuario institucional, quiero iniciar sesión de forma segura en CitaJusta Desktop, para acceder a la API con mi contexto autorizado sin persistir tokens de forma insegura.</t>
        </is>
      </c>
      <c r="D32" s="151" t="inlineStr">
        <is>
          <t>Autenticación Desktop y client-core compartido</t>
        </is>
      </c>
      <c r="E32" s="153" t="inlineStr">
        <is>
          <t>Done</t>
        </is>
      </c>
      <c r="F32" s="151" t="inlineStr">
        <is>
          <t>Por estimar</t>
        </is>
      </c>
      <c r="G32" s="151" t="inlineStr">
        <is>
          <t>Sprint 7</t>
        </is>
      </c>
      <c r="H32" s="151" t="inlineStr">
        <is>
          <t>Crítica</t>
        </is>
      </c>
      <c r="I32" s="151" t="inlineStr">
        <is>
          <t>Auth Desktop / cliente compartido</t>
        </is>
      </c>
      <c r="J32" s="151" t="inlineStr">
        <is>
          <t>Objetivo</t>
        </is>
      </c>
      <c r="K32" s="151" t="inlineStr">
        <is>
          <t>Login real contra API. • Perfil/contexto provienen del backend. • Tokens permanecen sólo en memoria. • Web y Desktop comparten HTTP/sesión mediante @citajusta/client-core. • Logout elimina la sesión local.</t>
        </is>
      </c>
      <c r="L32" s="151" t="inlineStr">
        <is>
          <t>feat/desktop-auth-api · commit 46fb85f · PR #113 · merge ae151b3</t>
        </is>
      </c>
      <c r="M32" s="151" t="inlineStr">
        <is>
          <t>HU-028 · Done</t>
        </is>
      </c>
      <c r="N32" s="151" t="inlineStr">
        <is>
          <t>Validación: Web 95/95; Desktop 7/7; client-core 2/2; builds y cargo check PASS; login/logout manual en Tauri PASS.</t>
        </is>
      </c>
    </row>
    <row r="33" ht="55.5" customHeight="1" s="143">
      <c r="A33" s="151" t="inlineStr">
        <is>
          <t>HU-029</t>
        </is>
      </c>
      <c r="B33" s="151" t="inlineStr">
        <is>
          <t>Desktop institucional</t>
        </is>
      </c>
      <c r="C33" s="151" t="inlineStr">
        <is>
          <t>Como usuario institucional autorizado, quiero gestionar las sedes y servicios de mi institución desde CitaJusta Desktop, para mantener actualizado el catálogo institucional utilizado por agenda, profesionales, disponibilidad y procesos de atención.</t>
        </is>
      </c>
      <c r="D33" s="151" t="inlineStr">
        <is>
          <t>Gestionar sedes y servicios desde Desktop</t>
        </is>
      </c>
      <c r="E33" s="168" t="inlineStr">
        <is>
          <t>Done</t>
        </is>
      </c>
      <c r="F33" s="151" t="inlineStr">
        <is>
          <t>Por estimar</t>
        </is>
      </c>
      <c r="G33" s="151" t="inlineStr">
        <is>
          <t>Sprint 7</t>
        </is>
      </c>
      <c r="H33" s="151" t="inlineStr">
        <is>
          <t>Alta</t>
        </is>
      </c>
      <c r="I33" s="151" t="inlineStr">
        <is>
          <t>HU-012 Desktop / RBAC administrativo</t>
        </is>
      </c>
      <c r="J33" s="151" t="inlineStr">
        <is>
          <t>Objetivo</t>
        </is>
      </c>
      <c r="K33" s="151" t="inlineStr">
        <is>
          <t>Lecturas administrativas respetan tenant y scope. • Crear/editar/activar/inactivar sedes y servicios usa permisos explícitos. • Servicios administran branchIds y categorías reales. • GET públicos existentes conservan su contrato.</t>
        </is>
      </c>
      <c r="L33" s="151" t="inlineStr">
        <is>
          <t>feat/desktop-branch-service-management · commit f58c742 · merge e1cdb2e</t>
        </is>
      </c>
      <c r="M33" s="151" t="inlineStr">
        <is>
          <t>HU-029 · Done</t>
        </is>
      </c>
      <c r="N33" s="151" t="inlineStr">
        <is>
          <t>Validación: API 394/394; backend enfocado 34/34; E2E catálogo 15/15; Web 95/95; Desktop 16/16; client-core 4/4; Prisma/build/cargo/diff PASS y prueba manual Tauri/PostgreSQL completa.</t>
        </is>
      </c>
    </row>
    <row r="34" ht="60" customHeight="1" s="143">
      <c r="A34" s="90" t="inlineStr">
        <is>
          <t>HU-030</t>
        </is>
      </c>
      <c r="B34" s="90" t="inlineStr">
        <is>
          <t>Desktop institucional</t>
        </is>
      </c>
      <c r="C34" s="90" t="inlineStr">
        <is>
          <t>Como administrador institucional autorizado, quiero gestionar profesionales desde CitaJusta Desktop, para mantener perfiles y asociaciones de atención desde la aplicación institucional.</t>
        </is>
      </c>
      <c r="D34" s="90" t="inlineStr">
        <is>
          <t>Gestionar profesionales desde Desktop</t>
        </is>
      </c>
      <c r="E34" s="90" t="inlineStr">
        <is>
          <t>Done</t>
        </is>
      </c>
      <c r="F34" s="90" t="inlineStr">
        <is>
          <t>Por estimar</t>
        </is>
      </c>
      <c r="G34" s="90" t="inlineStr">
        <is>
          <t>Sprint 7</t>
        </is>
      </c>
      <c r="H34" s="90" t="inlineStr">
        <is>
          <t>Alta</t>
        </is>
      </c>
      <c r="I34" s="90" t="inlineStr">
        <is>
          <t>HU-013 Desktop / RBAC administrativo</t>
        </is>
      </c>
      <c r="J34" s="90" t="inlineStr">
        <is>
          <t>Objetivo</t>
        </is>
      </c>
      <c r="K34" s="90" t="inlineStr">
        <is>
          <t>La lista administrativa respeta institución y permisos. • El alta parte de una cuenta ACTIVE existente obtenida por búsqueda exacta. • La edición conserva userId y permite asociaciones/estado según la API. • Desktop no crea cuentas, credenciales ni roles.</t>
        </is>
      </c>
      <c r="L34" s="90" t="inlineStr">
        <is>
          <t>commit 7fac74a · feat: add desktop professional management</t>
        </is>
      </c>
      <c r="M34" s="90" t="inlineStr">
        <is>
          <t>HU-030 · Done</t>
        </is>
      </c>
      <c r="N34" s="90" t="inlineStr">
        <is>
          <t>Desktop Profesionales reutiliza HU-013 y catálogos reales; lectura/escritura separadas por permisos y validación institucional.</t>
        </is>
      </c>
    </row>
    <row r="35" ht="60" customHeight="1" s="143">
      <c r="A35" s="90" t="inlineStr">
        <is>
          <t>HU-031</t>
        </is>
      </c>
      <c r="B35" s="90" t="inlineStr">
        <is>
          <t>Desktop institucional</t>
        </is>
      </c>
      <c r="C35" s="90" t="inlineStr">
        <is>
          <t>Como funcionario institucional autorizado, quiero consultar la agenda diaria desde CitaJusta Desktop, para gestionar la operación con filtros y contexto real.</t>
        </is>
      </c>
      <c r="D35" s="90" t="inlineStr">
        <is>
          <t>Consultar agenda institucional desde Desktop</t>
        </is>
      </c>
      <c r="E35" s="90" t="inlineStr">
        <is>
          <t>Done</t>
        </is>
      </c>
      <c r="F35" s="90" t="inlineStr">
        <is>
          <t>Por estimar</t>
        </is>
      </c>
      <c r="G35" s="90" t="inlineStr">
        <is>
          <t>Sprint 7</t>
        </is>
      </c>
      <c r="H35" s="90" t="inlineStr">
        <is>
          <t>Alta</t>
        </is>
      </c>
      <c r="I35" s="90" t="inlineStr">
        <is>
          <t>HU-015 Desktop / agenda.read</t>
        </is>
      </c>
      <c r="J35" s="90" t="inlineStr">
        <is>
          <t>Objetivo</t>
        </is>
      </c>
      <c r="K35" s="90" t="inlineStr">
        <is>
          <t>Consulta read-only de GET /api/v1/agenda. • Fecha obligatoria y filtros opcionales de sede, servicio, profesional y estado. • La sede contextual queda fija. • Las horas usan la zona institucional y no se inventan datos ni mutaciones.</t>
        </is>
      </c>
      <c r="L35" s="90" t="inlineStr">
        <is>
          <t>commit 5c60ac9 · feat: add desktop institutional agenda</t>
        </is>
      </c>
      <c r="M35" s="90" t="inlineStr">
        <is>
          <t>HU-031 · Done</t>
        </is>
      </c>
      <c r="N35" s="90" t="inlineStr">
        <is>
          <t>Agenda Desktop reutiliza la API HU-015, catálogos autenticados y protección frente a respuestas obsoletas.</t>
        </is>
      </c>
    </row>
    <row r="36" hidden="1" ht="60" customHeight="1" s="143">
      <c r="A36" s="90" t="n"/>
      <c r="B36" s="90" t="n"/>
      <c r="C36" s="90" t="n"/>
      <c r="D36" s="90" t="n"/>
      <c r="E36" s="90" t="n"/>
      <c r="F36" s="90" t="n"/>
      <c r="G36" s="90" t="n"/>
      <c r="H36" s="90" t="n"/>
      <c r="I36" s="90" t="n"/>
      <c r="J36" s="90" t="n"/>
      <c r="K36" s="90" t="n"/>
      <c r="L36" s="90" t="n"/>
      <c r="M36" s="90" t="n"/>
      <c r="N36" s="90" t="n"/>
    </row>
    <row r="37" hidden="1" ht="60" customHeight="1" s="143">
      <c r="A37" s="90" t="n"/>
      <c r="B37" s="90" t="n"/>
      <c r="C37" s="90" t="n"/>
      <c r="D37" s="90" t="n"/>
      <c r="E37" s="90" t="n"/>
      <c r="F37" s="90" t="n"/>
      <c r="G37" s="90" t="n"/>
      <c r="H37" s="90" t="n"/>
      <c r="I37" s="90" t="n"/>
      <c r="J37" s="90" t="n"/>
      <c r="K37" s="90" t="n"/>
      <c r="L37" s="90" t="n"/>
      <c r="M37" s="90" t="n"/>
      <c r="N37" s="90" t="n"/>
    </row>
    <row r="38" hidden="1" ht="60" customHeight="1" s="143">
      <c r="A38" s="90" t="n"/>
      <c r="B38" s="90" t="n"/>
      <c r="C38" s="90" t="n"/>
      <c r="D38" s="90" t="n"/>
      <c r="E38" s="90" t="n"/>
      <c r="F38" s="90" t="n"/>
      <c r="G38" s="90" t="n"/>
      <c r="H38" s="90" t="n"/>
      <c r="I38" s="90" t="n"/>
      <c r="J38" s="90" t="n"/>
      <c r="K38" s="90" t="n"/>
      <c r="L38" s="90" t="n"/>
      <c r="M38" s="90" t="n"/>
      <c r="N38" s="90" t="n"/>
    </row>
    <row r="39" hidden="1" ht="60" customHeight="1" s="143">
      <c r="A39" s="90" t="n"/>
      <c r="B39" s="90" t="n"/>
      <c r="C39" s="90" t="n"/>
      <c r="D39" s="90" t="n"/>
      <c r="E39" s="90" t="n"/>
      <c r="F39" s="90" t="n"/>
      <c r="G39" s="90" t="n"/>
      <c r="H39" s="90" t="n"/>
      <c r="I39" s="90" t="n"/>
      <c r="J39" s="90" t="n"/>
      <c r="K39" s="90" t="n"/>
      <c r="L39" s="90" t="n"/>
      <c r="M39" s="90" t="n"/>
      <c r="N39" s="90" t="n"/>
    </row>
    <row r="40" ht="60" customHeight="1" s="143">
      <c r="A40" s="90" t="inlineStr">
        <is>
          <t>HU-032</t>
        </is>
      </c>
      <c r="B40" s="90" t="inlineStr">
        <is>
          <t>Desktop institucional</t>
        </is>
      </c>
      <c r="C40" s="90" t="inlineStr">
        <is>
          <t>Como usuario institucional autorizado, quiero consultar y gestionar disponibilidad y bloqueos desde CitaJusta Desktop, para mantener horarios atendibles sin duplicar reglas del backend.</t>
        </is>
      </c>
      <c r="D40" s="90" t="inlineStr">
        <is>
          <t>Gestionar disponibilidad y bloqueos desde Desktop</t>
        </is>
      </c>
      <c r="E40" s="90" t="inlineStr">
        <is>
          <t>Done</t>
        </is>
      </c>
      <c r="F40" s="90" t="inlineStr">
        <is>
          <t>Por estimar</t>
        </is>
      </c>
      <c r="G40" s="90" t="inlineStr">
        <is>
          <t>Sprint 7</t>
        </is>
      </c>
      <c r="H40" s="90" t="inlineStr">
        <is>
          <t>Alta</t>
        </is>
      </c>
      <c r="I40" s="90" t="inlineStr">
        <is>
          <t>HU-014 Desktop / availability.*</t>
        </is>
      </c>
      <c r="J40" s="90" t="inlineStr">
        <is>
          <t>Objetivo</t>
        </is>
      </c>
      <c r="K40" s="90" t="inlineStr">
        <is>
          <t>Permisos independientes para leer, crear, actualizar y bloquear. • Usa la zona horaria institucional. • La sede contextual queda fija. • No edita/elimina bloqueos ni inventa AttentionPoint. • Escrituras reales no se reintentan automáticamente.</t>
        </is>
      </c>
      <c r="L40" s="90" t="inlineStr">
        <is>
          <t>commit 7644892 · feat: add desktop availability management</t>
        </is>
      </c>
      <c r="M40" s="90" t="inlineStr">
        <is>
          <t>HU-032 · Done</t>
        </is>
      </c>
      <c r="N40" s="90" t="inlineStr">
        <is>
          <t>Desktop reutiliza HU-014 y agrega lecturas administrativas controladas para disponibilidad/bloqueos con aislamiento institucional.</t>
        </is>
      </c>
    </row>
    <row r="41" ht="60" customHeight="1" s="143">
      <c r="A41" s="90" t="inlineStr">
        <is>
          <t>HU-033</t>
        </is>
      </c>
      <c r="B41" s="90" t="inlineStr">
        <is>
          <t>Desktop institucional</t>
        </is>
      </c>
      <c r="C41" s="90" t="inlineStr">
        <is>
          <t>Como funcionario o profesional autorizado, quiero registrar asistencia o inasistencia desde CitaJusta Desktop, para mantener actualizado el resultado operativo de las citas.</t>
        </is>
      </c>
      <c r="D41" s="90" t="inlineStr">
        <is>
          <t>Registrar asistencia e inasistencia desde Desktop</t>
        </is>
      </c>
      <c r="E41" s="90" t="inlineStr">
        <is>
          <t>Done</t>
        </is>
      </c>
      <c r="F41" s="90" t="inlineStr">
        <is>
          <t>Por estimar</t>
        </is>
      </c>
      <c r="G41" s="90" t="inlineStr">
        <is>
          <t>Sprint 7</t>
        </is>
      </c>
      <c r="H41" s="90" t="inlineStr">
        <is>
          <t>Alta</t>
        </is>
      </c>
      <c r="I41" s="90" t="inlineStr">
        <is>
          <t>HU-017 Desktop / appointments.attendance</t>
        </is>
      </c>
      <c r="J41" s="90" t="inlineStr">
        <is>
          <t>Objetivo</t>
        </is>
      </c>
      <c r="K41" s="90" t="inlineStr">
        <is>
          <t>La consulta requiere agenda.read y las acciones requieren appointments.attendance. • Sólo citas AGENDADA ofrecen ATENDIDA/INASISTENCIA. • El body contiene únicamente el nuevo estado. • Estados finales o contradictorios no se reabren ni se fuerzan desde la UI.</t>
        </is>
      </c>
      <c r="L41" s="90" t="inlineStr">
        <is>
          <t>commit 511a3dd · feat: add desktop attendance management</t>
        </is>
      </c>
      <c r="M41" s="90" t="inlineStr">
        <is>
          <t>HU-033 · Done</t>
        </is>
      </c>
      <c r="N41" s="90" t="inlineStr">
        <is>
          <t>Asistencia Desktop reutiliza agenda HU-031 y endpoint HU-017; conserva contexto, filtros y feedback controlado.</t>
        </is>
      </c>
    </row>
    <row r="42" ht="60" customHeight="1" s="143">
      <c r="A42" s="90" t="inlineStr">
        <is>
          <t>HU-034</t>
        </is>
      </c>
      <c r="B42" s="90" t="inlineStr">
        <is>
          <t>Desktop institucional</t>
        </is>
      </c>
      <c r="C42" s="90" t="inlineStr">
        <is>
          <t>Como usuario institucional, quiero una interfaz Desktop visualmente consistente y accesible, para operar los módulos reales con navegación y estados claros.</t>
        </is>
      </c>
      <c r="D42" s="90" t="inlineStr">
        <is>
          <t>Modernizar sistema visual institucional Desktop</t>
        </is>
      </c>
      <c r="E42" s="90" t="inlineStr">
        <is>
          <t>Done</t>
        </is>
      </c>
      <c r="F42" s="90" t="inlineStr">
        <is>
          <t>Por estimar</t>
        </is>
      </c>
      <c r="G42" s="90" t="inlineStr">
        <is>
          <t>Sprint 7</t>
        </is>
      </c>
      <c r="H42" s="90" t="inlineStr">
        <is>
          <t>Media</t>
        </is>
      </c>
      <c r="I42" s="90" t="inlineStr">
        <is>
          <t>UX institucional Desktop / transversal</t>
        </is>
      </c>
      <c r="J42" s="90" t="inlineStr">
        <is>
          <t>Objetivo</t>
        </is>
      </c>
      <c r="K42" s="90" t="inlineStr">
        <is>
          <t>Tokens y superficies compartidas. • Navegación agrupa Catálogo, Operación y Análisis. • Inicio utiliza accesos reales y no estadísticas simuladas. • Estados, formularios, teclado y ventana reducida conservan el comportamiento funcional existente.</t>
        </is>
      </c>
      <c r="L42" s="90" t="inlineStr">
        <is>
          <t>feat/desktop-visual-redesign · commit eef2153 · PR #135 · merge 056ba2b</t>
        </is>
      </c>
      <c r="M42" s="90" t="inlineStr">
        <is>
          <t>HU-034 · Done</t>
        </is>
      </c>
      <c r="N42" s="90" t="inlineStr">
        <is>
          <t>Rediseño visual transversal sin cambiar reglas de negocio, permisos ni contratos de API.</t>
        </is>
      </c>
    </row>
    <row r="43" ht="60" customHeight="1" s="143">
      <c r="A43" s="90" t="inlineStr">
        <is>
          <t>HU-035</t>
        </is>
      </c>
      <c r="B43" s="95" t="inlineStr">
        <is>
          <t>Web / Ofertas</t>
        </is>
      </c>
      <c r="C43" s="96" t="inlineStr">
        <is>
          <t>Como usuario Web que recibe ofertas de reasignación, quiero una experiencia más clara y moderna, para comprender su estado y responder con menor fricción.</t>
        </is>
      </c>
      <c r="D43" s="97" t="inlineStr">
        <is>
          <t>Modernizar UX de ofertas de reasignación Web</t>
        </is>
      </c>
      <c r="E43" s="90" t="inlineStr">
        <is>
          <t>Done</t>
        </is>
      </c>
      <c r="F43" s="90" t="inlineStr">
        <is>
          <t>Por estimar</t>
        </is>
      </c>
      <c r="G43" s="90" t="inlineStr">
        <is>
          <t>Sprint 7</t>
        </is>
      </c>
      <c r="H43" s="90" t="inlineStr">
        <is>
          <t>Media</t>
        </is>
      </c>
      <c r="I43" s="90" t="inlineStr">
        <is>
          <t>HU-022 Web / UX ofertas</t>
        </is>
      </c>
      <c r="J43" s="90" t="inlineStr">
        <is>
          <t>Objetivo</t>
        </is>
      </c>
      <c r="K43" s="90" t="inlineStr">
        <is>
          <t>La UI conserva datos y estados reales del backend. • No recalcula ranking ni elegibilidad. • La vigencia usa expiresAt/estado entregado por la API. • Aceptar/rechazar continúa usando los endpoints existentes sin alterar la semántica transaccional.</t>
        </is>
      </c>
      <c r="L43" s="90" t="inlineStr">
        <is>
          <t>feat/web-offers-ux · commit eb3e35a · PR #139 · merge 8d276ac</t>
        </is>
      </c>
      <c r="M43" s="90" t="inlineStr">
        <is>
          <t>HU-035 · Done</t>
        </is>
      </c>
      <c r="N43" s="90" t="inlineStr">
        <is>
          <t>Modernización UX sobre el flujo Web existente; no agrega lógica paralela al motor de reasignación.</t>
        </is>
      </c>
    </row>
    <row r="44" ht="60" customHeight="1" s="143">
      <c r="A44" s="90" t="inlineStr">
        <is>
          <t>HU-036</t>
        </is>
      </c>
      <c r="B44" s="98" t="inlineStr">
        <is>
          <t>Desktop institucional</t>
        </is>
      </c>
      <c r="C44" s="99" t="inlineStr">
        <is>
          <t>Como funcionario autorizado, quiero consultar desde Desktop el detalle de un proceso de reasignación, para supervisar candidatos, ofertas, política y trazabilidad sin alterar el proceso.</t>
        </is>
      </c>
      <c r="D44" s="100" t="inlineStr">
        <is>
          <t>Supervisar reasignaciones desde Desktop</t>
        </is>
      </c>
      <c r="E44" s="90" t="inlineStr">
        <is>
          <t>Done</t>
        </is>
      </c>
      <c r="F44" s="90" t="inlineStr">
        <is>
          <t>Por estimar</t>
        </is>
      </c>
      <c r="G44" s="90" t="inlineStr">
        <is>
          <t>Sprint 7</t>
        </is>
      </c>
      <c r="H44" s="90" t="inlineStr">
        <is>
          <t>Alta</t>
        </is>
      </c>
      <c r="I44" s="90" t="inlineStr">
        <is>
          <t>HU-016 Desktop / reassignments.read</t>
        </is>
      </c>
      <c r="J44" s="90" t="inlineStr">
        <is>
          <t>Objetivo</t>
        </is>
      </c>
      <c r="K44" s="90" t="inlineStr">
        <is>
          <t>Consulta por UUID conocido con reassignments.read y contexto institucional. • Presenta resumen, política, evaluación, candidatos, ofertas y trazabilidad controlada. • Conserva orden/flags del backend. • No genera, acepta, rechaza, expira ni recalcula ofertas.</t>
        </is>
      </c>
      <c r="L44" s="90" t="inlineStr">
        <is>
          <t>feat/desktop-reassignment-supervision · commit 94770f9 · PR #141 · merge d5a5fe5</t>
        </is>
      </c>
      <c r="M44" s="90" t="inlineStr">
        <is>
          <t>HU-036 · Done</t>
        </is>
      </c>
      <c r="N44" s="90" t="inlineStr">
        <is>
          <t>Supervisión Desktop read-only sobre HU-016, sin listado inventado ni inferencias de vigencia.</t>
        </is>
      </c>
    </row>
    <row r="45" ht="60" customHeight="1" s="143">
      <c r="A45" s="90" t="inlineStr">
        <is>
          <t>HU-037</t>
        </is>
      </c>
      <c r="B45" s="101" t="inlineStr">
        <is>
          <t>Desktop institucional</t>
        </is>
      </c>
      <c r="C45" s="102" t="inlineStr">
        <is>
          <t>Como usuario institucional autorizado, quiero consultar indicadores y reportes desde CitaJusta Desktop, para analizar citas, recuperación de cupos y ofertas dentro de mi ámbito.</t>
        </is>
      </c>
      <c r="D45" s="103" t="inlineStr">
        <is>
          <t>Consultar reportes institucionales desde Desktop</t>
        </is>
      </c>
      <c r="E45" s="90" t="inlineStr">
        <is>
          <t>Done</t>
        </is>
      </c>
      <c r="F45" s="90" t="inlineStr">
        <is>
          <t>Por estimar</t>
        </is>
      </c>
      <c r="G45" s="90" t="inlineStr">
        <is>
          <t>Sprint 7</t>
        </is>
      </c>
      <c r="H45" s="90" t="inlineStr">
        <is>
          <t>Media</t>
        </is>
      </c>
      <c r="I45" s="90" t="inlineStr">
        <is>
          <t>HU-019 Desktop / RF-037</t>
        </is>
      </c>
      <c r="J45" s="90" t="inlineStr">
        <is>
          <t>Objetivo</t>
        </is>
      </c>
      <c r="K45" s="90" t="inlineStr">
        <is>
          <t>Requiere reports.read y contexto institucional. • Desde/Hasta son fechas civiles inclusivas de 1 a 366 días. • Sede, servicio y profesional son filtros opcionales. • Muestra los diez valores entregados por la API, incluidos ceros, sin inventar series, tendencias ni totales.</t>
        </is>
      </c>
      <c r="L45" s="90" t="inlineStr">
        <is>
          <t>feat/desktop-reports · commit 8d3bb26 · PR #143 · merge cb445ca</t>
        </is>
      </c>
      <c r="M45" s="90" t="inlineStr">
        <is>
          <t>HU-037 · Done</t>
        </is>
      </c>
      <c r="N45" s="90" t="inlineStr">
        <is>
          <t>Reportes Desktop consume GET /api/v1/reports/indicators; catálogos auxiliares no bloquean una consulta por período.</t>
        </is>
      </c>
    </row>
    <row r="46" ht="60" customHeight="1" s="143">
      <c r="A46" s="90" t="inlineStr">
        <is>
          <t>HU-038</t>
        </is>
      </c>
      <c r="B46" s="90" t="inlineStr">
        <is>
          <t>Desktop institucional / Auditoría</t>
        </is>
      </c>
      <c r="C46" s="90" t="inlineStr">
        <is>
          <t>Como auditor autorizado, quiero consultar desde CitaJusta Desktop la bitácora de operaciones relevantes de mi ámbito institucional, para reconstruir qué ocurrió, cuándo, por quién o por el sistema y sobre qué recurso, sin alterar los eventos registrados.</t>
        </is>
      </c>
      <c r="D46" s="90" t="inlineStr">
        <is>
          <t>Consultar auditoría institucional desde Desktop</t>
        </is>
      </c>
      <c r="E46" s="90" t="inlineStr">
        <is>
          <t>Done</t>
        </is>
      </c>
      <c r="F46" s="90" t="inlineStr">
        <is>
          <t>Por estimar</t>
        </is>
      </c>
      <c r="G46" s="90" t="inlineStr">
        <is>
          <t>Sprint 7</t>
        </is>
      </c>
      <c r="H46" s="90" t="inlineStr">
        <is>
          <t>Alta</t>
        </is>
      </c>
      <c r="I46" s="90" t="inlineStr">
        <is>
          <t>HU-020 Desktop / RF-036</t>
        </is>
      </c>
      <c r="J46" s="90" t="inlineStr">
        <is>
          <t>Objetivo</t>
        </is>
      </c>
      <c r="K46" s="90" t="inlineStr">
        <is>
          <t>Requiere audit.read y contexto institucional. • Filtros opcionales por fechas civiles, sede, actor, acción y recurso. • Vista exclusivamente read-only. • Paginación por cursor opaco con Cargar más, deduplicación y descarte de respuestas obsoletas. • No expone payloads, secretos ni datos inventados.</t>
        </is>
      </c>
      <c r="L46" s="90" t="inlineStr">
        <is>
          <t>feat/desktop-audit · commit bbd6a14 · PR #147 · merge 5cc91d5</t>
        </is>
      </c>
      <c r="M46" s="90" t="inlineStr">
        <is>
          <t>HU-038 · Done</t>
        </is>
      </c>
      <c r="N46" s="90" t="inlineStr">
        <is>
          <t>Auditoría Desktop validada manualmente con filtros, trazabilidad y paginación; backend HU-020 no fue modificado.</t>
        </is>
      </c>
    </row>
    <row r="47" ht="68" customHeight="1" s="143">
      <c r="A47" s="90" t="inlineStr">
        <is>
          <t>HU-039</t>
        </is>
      </c>
      <c r="B47" s="90" t="inlineStr">
        <is>
          <t>Integraciones externas</t>
        </is>
      </c>
      <c r="C47" s="90" t="inlineStr">
        <is>
          <t>Como usuario de CitaJusta, quiero recibir correos transaccionales sobre eventos relevantes de mis citas y reasignaciones, para mantenerme informado también fuera de la aplicación.</t>
        </is>
      </c>
      <c r="D47" s="90" t="inlineStr">
        <is>
          <t>Enviar correo transaccional con Resend</t>
        </is>
      </c>
      <c r="E47" s="131" t="inlineStr">
        <is>
          <t>Done</t>
        </is>
      </c>
      <c r="F47" s="90" t="inlineStr">
        <is>
          <t>Por estimar</t>
        </is>
      </c>
      <c r="G47" s="90" t="inlineStr">
        <is>
          <t>Sprint 8</t>
        </is>
      </c>
      <c r="H47" s="90" t="inlineStr">
        <is>
          <t>Alta</t>
        </is>
      </c>
      <c r="I47" s="90" t="inlineStr">
        <is>
          <t>RF-039</t>
        </is>
      </c>
      <c r="J47" s="90" t="inlineStr">
        <is>
          <t>Objetivo</t>
        </is>
      </c>
      <c r="K47" s="90" t="inlineStr">
        <is>
          <t>El backend integra Resend mediante una frontera de proveedor controlada. • Los correos cubren eventos transaccionales priorizados como confirmaciones, cancelaciones y reasignaciones/ofertas. • No se exponen secretos. • Un fallo de entrega no altera el estado de negocio ya persistido.</t>
        </is>
      </c>
      <c r="L47" s="131" t="inlineStr">
        <is>
          <t>Issue #152 CLOSED COMPLETED · PR #153 MERGED · Resend</t>
        </is>
      </c>
      <c r="M47" s="90" t="inlineStr">
        <is>
          <t>Pendiente de crear/refinar</t>
        </is>
      </c>
      <c r="N47" s="90" t="inlineStr">
        <is>
          <t>Primera integración externa priorizada. Debe reutilizar eventos/notificaciones existentes sin convertir al proveedor en fuente de verdad.</t>
        </is>
      </c>
    </row>
    <row r="48" ht="68" customHeight="1" s="143">
      <c r="A48" s="90" t="inlineStr">
        <is>
          <t>HU-040</t>
        </is>
      </c>
      <c r="B48" s="90" t="inlineStr">
        <is>
          <t>Integraciones externas</t>
        </is>
      </c>
      <c r="C48" s="90" t="inlineStr">
        <is>
          <t>Como usuario, quiero iniciar sesión con mi cuenta Google, para acceder a CitaJusta mediante un método adicional de autenticación.</t>
        </is>
      </c>
      <c r="D48" s="90" t="inlineStr">
        <is>
          <t>Integrar Google OAuth / OpenID Connect</t>
        </is>
      </c>
      <c r="E48" s="131" t="inlineStr">
        <is>
          <t>Done</t>
        </is>
      </c>
      <c r="F48" s="90" t="inlineStr">
        <is>
          <t>Por estimar</t>
        </is>
      </c>
      <c r="G48" s="90" t="inlineStr">
        <is>
          <t>Sprint 8</t>
        </is>
      </c>
      <c r="H48" s="90" t="inlineStr">
        <is>
          <t>Alta</t>
        </is>
      </c>
      <c r="I48" s="90" t="inlineStr">
        <is>
          <t>RF-040</t>
        </is>
      </c>
      <c r="J48" s="90" t="inlineStr">
        <is>
          <t>Objetivo</t>
        </is>
      </c>
      <c r="K48" s="90" t="inlineStr">
        <is>
          <t>Google se incorpora como método adicional y no elimina el login actual. • La identidad OIDC se valida del lado servidor y se vincula de forma controlada a User. • Google no define roles/permisos institucionales. • Tokens y secretos del proveedor no se exponen al cliente ni a logs.</t>
        </is>
      </c>
      <c r="L48" s="131" t="inlineStr">
        <is>
          <t>Issue #155 CLOSED COMPLETED · PR #156 MERGED · Google OAuth</t>
        </is>
      </c>
      <c r="M48" s="90" t="inlineStr">
        <is>
          <t>Pendiente de crear/refinar</t>
        </is>
      </c>
      <c r="N48" s="90" t="inlineStr">
        <is>
          <t>Debe preservar Auth, RBAC y AuthorizationContext existentes y definir una política segura de vinculación de cuentas.</t>
        </is>
      </c>
    </row>
    <row r="49" ht="68" customHeight="1" s="143">
      <c r="A49" s="104" t="inlineStr">
        <is>
          <t>HU-041</t>
        </is>
      </c>
      <c r="B49" s="105" t="inlineStr">
        <is>
          <t>Integraciones externas</t>
        </is>
      </c>
      <c r="C49" s="105" t="inlineStr">
        <is>
          <t>Como usuario con una cita confirmada, quiero agregarla a Google Calendar, para verla junto a mis compromisos personales.</t>
        </is>
      </c>
      <c r="D49" s="105" t="inlineStr">
        <is>
          <t>Agregar cita a Google Calendar</t>
        </is>
      </c>
      <c r="E49" s="185" t="inlineStr">
        <is>
          <t>Done</t>
        </is>
      </c>
      <c r="F49" s="105" t="inlineStr">
        <is>
          <t>Por estimar</t>
        </is>
      </c>
      <c r="G49" s="105" t="inlineStr">
        <is>
          <t>Sprint 8</t>
        </is>
      </c>
      <c r="H49" s="105" t="inlineStr">
        <is>
          <t>Media</t>
        </is>
      </c>
      <c r="I49" s="105" t="inlineStr">
        <is>
          <t>RF-041</t>
        </is>
      </c>
      <c r="J49" s="105" t="inlineStr">
        <is>
          <t>Objetivo</t>
        </is>
      </c>
      <c r="K49" s="105" t="inlineStr">
        <is>
          <t>La acción requiere autorización explícita del usuario y sólo opera sobre una cita propia/permitida. • CitaJusta/PostgreSQL sigue siendo la fuente de verdad. • Calendar recibe una representación del evento y no modifica estados de la cita. • Denegación o fallo del proveedor se manejan de forma controlada.</t>
        </is>
      </c>
      <c r="L49" s="185" t="inlineStr">
        <is>
          <t>Issue #158 CLOSED COMPLETED · PR #159 MERGED · Google Calendar</t>
        </is>
      </c>
      <c r="M49" s="105" t="inlineStr">
        <is>
          <t>Pendiente de crear/refinar</t>
        </is>
      </c>
      <c r="N49" s="105" t="inlineStr">
        <is>
          <t>Se implementará después de resolver OAuth/OIDC; no se planifica sincronización bidireccional como requisito base.</t>
        </is>
      </c>
    </row>
    <row r="50" ht="68" customHeight="1" s="143">
      <c r="A50" s="90" t="inlineStr">
        <is>
          <t>HU-042</t>
        </is>
      </c>
      <c r="B50" s="90" t="inlineStr">
        <is>
          <t>Integraciones externas</t>
        </is>
      </c>
      <c r="C50" s="90" t="inlineStr">
        <is>
          <t>Como usuario, quiero visualizar la ubicación de la sede y acceder a una ruta en Google Maps, para facilitar mi llegada a la atención.</t>
        </is>
      </c>
      <c r="D50" s="90" t="inlineStr">
        <is>
          <t>Ubicación de sedes con OpenStreetMap y rutas Google Maps</t>
        </is>
      </c>
      <c r="E50" s="131" t="inlineStr">
        <is>
          <t>Done</t>
        </is>
      </c>
      <c r="F50" s="90" t="inlineStr">
        <is>
          <t>Por estimar</t>
        </is>
      </c>
      <c r="G50" s="90" t="inlineStr">
        <is>
          <t>Sprint 8</t>
        </is>
      </c>
      <c r="H50" s="90" t="inlineStr">
        <is>
          <t>Media</t>
        </is>
      </c>
      <c r="I50" s="90" t="inlineStr">
        <is>
          <t>RF-042</t>
        </is>
      </c>
      <c r="J50" s="90" t="inlineStr">
        <is>
          <t>Objetivo</t>
        </is>
      </c>
      <c r="K50" s="90" t="inlineStr">
        <is>
          <t>La integración usa únicamente dirección/coordenadas reales de la sede. • No inventa geolocalización si faltan datos. • La UI ofrece ubicación/ruta sin alterar información institucional. • Claves/configuración del proveedor se gestionan por entorno y con restricciones apropiadas.</t>
        </is>
      </c>
      <c r="L50" s="131" t="inlineStr">
        <is>
          <t>Issue #162 CLOSED COMPLETED · PR #163 MERGED · OpenStreetMap / Google Maps URLs</t>
        </is>
      </c>
      <c r="M50" s="90" t="inlineStr">
        <is>
          <t>Pendiente de crear/refinar</t>
        </is>
      </c>
      <c r="N50" s="90" t="inlineStr">
        <is>
          <t>Branch ya dispone de dirección y coordenadas; antes de integrar Maps se verificará exposición/control de esos datos en los DTO existentes.</t>
        </is>
      </c>
    </row>
    <row r="51" ht="68" customHeight="1" s="143">
      <c r="A51" s="90" t="inlineStr">
        <is>
          <t>HU-043</t>
        </is>
      </c>
      <c r="B51" s="90" t="inlineStr">
        <is>
          <t>Integraciones externas</t>
        </is>
      </c>
      <c r="C51" s="90" t="inlineStr">
        <is>
          <t>Como antecedente histórico, se propuso recibir avisos mediante WhatsApp con consentimiento; requisito retirado del entregable el 15-10-2026 por restricciones empresariales de Meta.</t>
        </is>
      </c>
      <c r="D51" s="90" t="inlineStr">
        <is>
          <t>WhatsApp — excluida del alcance</t>
        </is>
      </c>
      <c r="E51" s="131" t="inlineStr">
        <is>
          <t>Fuera de alcance</t>
        </is>
      </c>
      <c r="F51" s="90" t="inlineStr">
        <is>
          <t>Por estimar</t>
        </is>
      </c>
      <c r="G51" s="90" t="inlineStr">
        <is>
          <t>Sprint 8</t>
        </is>
      </c>
      <c r="H51" s="90" t="inlineStr">
        <is>
          <t>Media</t>
        </is>
      </c>
      <c r="I51" s="90" t="inlineStr">
        <is>
          <t>RF-043</t>
        </is>
      </c>
      <c r="J51" s="90" t="inlineStr">
        <is>
          <t>Excluida</t>
        </is>
      </c>
      <c r="K51" s="90" t="inlineStr">
        <is>
          <t>HU-043/RF-043 retirada; no implementada ni requerida en el alcance vigente. Conservar historia por trazabilidad; no se considera Done.</t>
        </is>
      </c>
      <c r="L51" s="131" t="inlineStr">
        <is>
          <t>HU-043 excluida 15-10 · Issue #165 CLOSED COMPLETED (motivo administrativo a revisar) · PR #169 MERGED = retiro documental</t>
        </is>
      </c>
      <c r="M51" s="90" t="inlineStr">
        <is>
          <t>Pendiente de crear/refinar</t>
        </is>
      </c>
      <c r="N51" s="90" t="inlineStr">
        <is>
          <t>Integración tentativa: no es dependencia fundamental del proyecto y sólo se implementará tras evaluar proveedor/API, consentimiento, plantillas y costos.</t>
        </is>
      </c>
    </row>
    <row r="52" ht="34" customHeight="1" s="143">
      <c r="B52" s="94" t="inlineStr">
        <is>
          <t>Nota: HU-001 a HU-020 mantienen sus Story Points históricos (105 SP). HU-021 a HU-043 permanecen Por estimar hasta refinamiento/Planning formal. HU-030 a HU-038 documentan trabajo ya implementado en Sprint 7; HU-039 a HU-043 formalizan integraciones externas planificadas para Sprint 8 y no reescriben retrospectivamente Sprints cerrados.</t>
        </is>
      </c>
      <c r="C52" s="46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</row>
    <row r="53" ht="15.75" customHeight="1" s="143"/>
    <row r="54" ht="15.75" customHeight="1" s="143"/>
    <row r="55" ht="15.75" customHeight="1" s="143"/>
    <row r="56" ht="15.75" customHeight="1" s="143"/>
    <row r="57" ht="15.75" customHeight="1" s="143"/>
    <row r="58" ht="15.75" customHeight="1" s="143"/>
    <row r="59" ht="15.75" customHeight="1" s="143"/>
    <row r="60" ht="15.75" customHeight="1" s="143"/>
    <row r="61" ht="15.75" customHeight="1" s="143"/>
    <row r="62" ht="15.75" customHeight="1" s="143"/>
    <row r="63" ht="15.75" customHeight="1" s="143"/>
    <row r="64" ht="15.75" customHeight="1" s="143"/>
    <row r="65" ht="15.75" customHeight="1" s="143"/>
    <row r="66" ht="15.75" customHeight="1" s="143"/>
    <row r="67" ht="15.75" customHeight="1" s="143"/>
    <row r="68" ht="15.75" customHeight="1" s="143"/>
    <row r="69" ht="15.75" customHeight="1" s="143"/>
    <row r="70" ht="15.75" customHeight="1" s="143"/>
    <row r="71" ht="15.75" customHeight="1" s="143"/>
    <row r="72" ht="15.75" customHeight="1" s="143"/>
    <row r="73" ht="15.75" customHeight="1" s="143"/>
    <row r="74" ht="15.75" customHeight="1" s="143"/>
    <row r="75" ht="15.75" customHeight="1" s="143"/>
    <row r="76" ht="15.75" customHeight="1" s="143"/>
    <row r="77" ht="15.75" customHeight="1" s="143"/>
    <row r="78" ht="15.75" customHeight="1" s="143"/>
    <row r="79" ht="15.75" customHeight="1" s="143"/>
    <row r="80" ht="15.75" customHeight="1" s="143"/>
    <row r="81" ht="15.75" customHeight="1" s="143"/>
    <row r="82" ht="15.75" customHeight="1" s="143"/>
    <row r="83" ht="15.75" customHeight="1" s="143"/>
    <row r="84" ht="15.75" customHeight="1" s="143"/>
    <row r="85" ht="15.75" customHeight="1" s="143"/>
    <row r="86" ht="15.75" customHeight="1" s="143"/>
    <row r="87" ht="15.75" customHeight="1" s="143"/>
    <row r="88" ht="15.75" customHeight="1" s="143"/>
    <row r="89" ht="15.75" customHeight="1" s="143"/>
    <row r="90" ht="15.75" customHeight="1" s="143"/>
    <row r="91" ht="15.75" customHeight="1" s="143"/>
    <row r="92" ht="15.75" customHeight="1" s="143"/>
    <row r="93" ht="15.75" customHeight="1" s="143"/>
    <row r="94" ht="15.75" customHeight="1" s="143"/>
    <row r="95" ht="15.75" customHeight="1" s="143"/>
    <row r="96" ht="15.75" customHeight="1" s="143"/>
    <row r="97" ht="15.75" customHeight="1" s="143"/>
    <row r="98" ht="15.75" customHeight="1" s="143"/>
    <row r="99" ht="15.75" customHeight="1" s="143"/>
    <row r="100" ht="15.75" customHeight="1" s="143"/>
    <row r="101" ht="15.75" customHeight="1" s="143"/>
    <row r="102" ht="15.75" customHeight="1" s="143"/>
    <row r="103" ht="15.75" customHeight="1" s="143"/>
    <row r="104" ht="15.75" customHeight="1" s="143"/>
    <row r="105" ht="15.75" customHeight="1" s="143"/>
    <row r="106" ht="15.75" customHeight="1" s="143"/>
    <row r="107" ht="15.75" customHeight="1" s="143"/>
    <row r="108" ht="15.75" customHeight="1" s="143"/>
    <row r="109" ht="15.75" customHeight="1" s="143"/>
    <row r="110" ht="15.75" customHeight="1" s="143"/>
    <row r="111" ht="15.75" customHeight="1" s="143"/>
    <row r="112" ht="15.75" customHeight="1" s="143"/>
    <row r="113" ht="15.75" customHeight="1" s="143"/>
    <row r="114" ht="15.75" customHeight="1" s="143"/>
    <row r="115" ht="15.75" customHeight="1" s="143"/>
    <row r="116" ht="15.75" customHeight="1" s="143"/>
    <row r="117" ht="15.75" customHeight="1" s="143"/>
    <row r="118" ht="15.75" customHeight="1" s="143"/>
    <row r="119" ht="15.75" customHeight="1" s="143"/>
    <row r="120" ht="15.75" customHeight="1" s="143"/>
    <row r="121" ht="15.75" customHeight="1" s="143"/>
    <row r="122" ht="15.75" customHeight="1" s="143"/>
    <row r="123" ht="15.75" customHeight="1" s="143"/>
    <row r="124" ht="15.75" customHeight="1" s="143"/>
    <row r="125" ht="15.75" customHeight="1" s="143"/>
    <row r="126" ht="15.75" customHeight="1" s="143"/>
    <row r="127" ht="15.75" customHeight="1" s="143"/>
    <row r="128" ht="15.75" customHeight="1" s="143"/>
    <row r="129" ht="15.75" customHeight="1" s="143"/>
    <row r="130" ht="15.75" customHeight="1" s="143"/>
    <row r="131" ht="15.75" customHeight="1" s="143"/>
    <row r="132" ht="15.75" customHeight="1" s="143"/>
    <row r="133" ht="15.75" customHeight="1" s="143"/>
    <row r="134" ht="15.75" customHeight="1" s="143"/>
    <row r="135" ht="15.75" customHeight="1" s="143"/>
    <row r="136" ht="15.75" customHeight="1" s="143"/>
    <row r="137" ht="15.75" customHeight="1" s="143"/>
    <row r="138" ht="15.75" customHeight="1" s="143"/>
    <row r="139" ht="15.75" customHeight="1" s="143"/>
    <row r="140" ht="15.75" customHeight="1" s="143"/>
    <row r="141" ht="15.75" customHeight="1" s="143"/>
    <row r="142" ht="15.75" customHeight="1" s="143"/>
    <row r="143" ht="15.75" customHeight="1" s="143"/>
    <row r="144" ht="15.75" customHeight="1" s="143"/>
    <row r="145" ht="15.75" customHeight="1" s="143"/>
    <row r="146" ht="15.75" customHeight="1" s="143"/>
    <row r="147" ht="15.75" customHeight="1" s="143"/>
    <row r="148" ht="15.75" customHeight="1" s="143"/>
    <row r="149" ht="15.75" customHeight="1" s="143"/>
    <row r="150" ht="15.75" customHeight="1" s="143"/>
    <row r="151" ht="15.75" customHeight="1" s="143"/>
    <row r="152" ht="15.75" customHeight="1" s="143"/>
    <row r="153" ht="15.75" customHeight="1" s="143"/>
    <row r="154" ht="15.75" customHeight="1" s="143"/>
    <row r="155" ht="15.75" customHeight="1" s="143"/>
    <row r="156" ht="15.75" customHeight="1" s="143"/>
    <row r="157" ht="15.75" customHeight="1" s="143"/>
    <row r="158" ht="15.75" customHeight="1" s="143"/>
    <row r="159" ht="15.75" customHeight="1" s="143"/>
    <row r="160" ht="15.75" customHeight="1" s="143"/>
    <row r="161" ht="15.75" customHeight="1" s="143"/>
    <row r="162" ht="15.75" customHeight="1" s="143"/>
    <row r="163" ht="15.75" customHeight="1" s="143"/>
    <row r="164" ht="15.75" customHeight="1" s="143"/>
    <row r="165" ht="15.75" customHeight="1" s="143"/>
    <row r="166" ht="15.75" customHeight="1" s="143"/>
    <row r="167" ht="15.75" customHeight="1" s="143"/>
    <row r="168" ht="15.75" customHeight="1" s="143"/>
    <row r="169" ht="15.75" customHeight="1" s="143"/>
    <row r="170" ht="15.75" customHeight="1" s="143"/>
    <row r="171" ht="15.75" customHeight="1" s="143"/>
    <row r="172" ht="15.75" customHeight="1" s="143"/>
    <row r="173" ht="15.75" customHeight="1" s="143"/>
    <row r="174" ht="15.75" customHeight="1" s="143"/>
    <row r="175" ht="15.75" customHeight="1" s="143"/>
    <row r="176" ht="15.75" customHeight="1" s="143"/>
    <row r="177" ht="15.75" customHeight="1" s="143"/>
    <row r="178" ht="15.75" customHeight="1" s="143"/>
    <row r="179" ht="15.75" customHeight="1" s="143"/>
    <row r="180" ht="15.75" customHeight="1" s="143"/>
    <row r="181" ht="15.75" customHeight="1" s="143"/>
    <row r="182" ht="15.75" customHeight="1" s="143"/>
    <row r="183" ht="15.75" customHeight="1" s="143"/>
    <row r="184" ht="15.75" customHeight="1" s="143"/>
    <row r="185" ht="15.75" customHeight="1" s="143"/>
    <row r="186" ht="15.75" customHeight="1" s="143"/>
    <row r="187" ht="15.75" customHeight="1" s="143"/>
    <row r="188" ht="15.75" customHeight="1" s="143"/>
    <row r="189" ht="15.75" customHeight="1" s="143"/>
    <row r="190" ht="15.75" customHeight="1" s="143"/>
    <row r="191" ht="15.75" customHeight="1" s="143"/>
    <row r="192" ht="15.75" customHeight="1" s="143"/>
    <row r="193" ht="15.75" customHeight="1" s="143"/>
    <row r="194" ht="15.75" customHeight="1" s="143"/>
    <row r="195" ht="15.75" customHeight="1" s="143"/>
    <row r="196" ht="15.75" customHeight="1" s="143"/>
    <row r="197" ht="15.75" customHeight="1" s="143"/>
    <row r="198" ht="15.75" customHeight="1" s="143"/>
    <row r="199" ht="15.75" customHeight="1" s="143"/>
    <row r="200" ht="15.75" customHeight="1" s="143"/>
    <row r="201" ht="15.75" customHeight="1" s="143"/>
    <row r="202" ht="15.75" customHeight="1" s="143"/>
    <row r="203" ht="15.75" customHeight="1" s="143"/>
    <row r="204" ht="15.75" customHeight="1" s="143"/>
    <row r="205" ht="15.75" customHeight="1" s="143"/>
    <row r="206" ht="15.75" customHeight="1" s="143"/>
    <row r="207" ht="15.75" customHeight="1" s="143"/>
    <row r="208" ht="15.75" customHeight="1" s="143"/>
    <row r="209" ht="15.75" customHeight="1" s="143"/>
    <row r="210" ht="15.75" customHeight="1" s="143"/>
    <row r="211" ht="15.75" customHeight="1" s="143"/>
    <row r="212" ht="15.75" customHeight="1" s="143"/>
    <row r="213" ht="15.75" customHeight="1" s="143"/>
    <row r="214" ht="15.75" customHeight="1" s="143"/>
    <row r="215" ht="15.75" customHeight="1" s="143"/>
    <row r="216" ht="15.75" customHeight="1" s="143"/>
    <row r="217" ht="15.75" customHeight="1" s="143"/>
    <row r="218" ht="15.75" customHeight="1" s="143"/>
    <row r="219" ht="15.75" customHeight="1" s="143"/>
    <row r="220" ht="15.75" customHeight="1" s="143"/>
    <row r="221" ht="15.75" customHeight="1" s="143"/>
    <row r="222" ht="15.75" customHeight="1" s="143"/>
    <row r="223" ht="15.75" customHeight="1" s="143"/>
    <row r="224" ht="15.75" customHeight="1" s="143"/>
    <row r="225" ht="15.75" customHeight="1" s="143"/>
    <row r="226" ht="15.75" customHeight="1" s="143"/>
    <row r="227" ht="15.75" customHeight="1" s="143"/>
    <row r="228" ht="15.75" customHeight="1" s="143"/>
    <row r="229" ht="15.75" customHeight="1" s="143"/>
    <row r="230" ht="15.75" customHeight="1" s="143"/>
    <row r="231" ht="15.75" customHeight="1" s="143"/>
    <row r="232" ht="15.75" customHeight="1" s="143"/>
    <row r="233" ht="15.75" customHeight="1" s="143"/>
    <row r="234" ht="15.75" customHeight="1" s="143"/>
    <row r="235" ht="15.75" customHeight="1" s="143"/>
    <row r="236" ht="15.75" customHeight="1" s="143"/>
    <row r="237" ht="15.75" customHeight="1" s="143"/>
    <row r="238" ht="15.75" customHeight="1" s="143"/>
    <row r="239" ht="15.75" customHeight="1" s="143"/>
    <row r="240" ht="15.75" customHeight="1" s="143"/>
    <row r="241" ht="15.75" customHeight="1" s="143"/>
    <row r="242" ht="15.75" customHeight="1" s="143"/>
    <row r="243" ht="15.75" customHeight="1" s="143"/>
    <row r="244" ht="15.75" customHeight="1" s="143"/>
    <row r="245" ht="15.75" customHeight="1" s="143"/>
    <row r="246" ht="15.75" customHeight="1" s="143"/>
    <row r="247" ht="15.75" customHeight="1" s="143"/>
    <row r="248" ht="15.75" customHeight="1" s="143"/>
    <row r="249" ht="15.75" customHeight="1" s="143"/>
    <row r="250" ht="15.75" customHeight="1" s="143"/>
    <row r="251" ht="15.75" customHeight="1" s="143"/>
    <row r="252" ht="15.75" customHeight="1" s="143"/>
    <row r="253" ht="15.75" customHeight="1" s="143"/>
    <row r="254" ht="15.75" customHeight="1" s="143"/>
    <row r="255" ht="15.75" customHeight="1" s="143"/>
    <row r="256" ht="15.75" customHeight="1" s="143"/>
    <row r="257" ht="15.75" customHeight="1" s="143"/>
    <row r="258" ht="15.75" customHeight="1" s="143"/>
    <row r="259" ht="15.75" customHeight="1" s="143"/>
    <row r="260" ht="15.75" customHeight="1" s="143"/>
    <row r="261" ht="15.75" customHeight="1" s="143"/>
    <row r="262" ht="15.75" customHeight="1" s="143"/>
    <row r="263" ht="15.75" customHeight="1" s="143"/>
    <row r="264" ht="15.75" customHeight="1" s="143"/>
    <row r="265" ht="15.75" customHeight="1" s="143"/>
    <row r="266" ht="15.75" customHeight="1" s="143"/>
    <row r="267" ht="15.75" customHeight="1" s="143"/>
    <row r="268" ht="15.75" customHeight="1" s="143"/>
    <row r="269" ht="15.75" customHeight="1" s="143"/>
    <row r="270" ht="15.75" customHeight="1" s="143"/>
    <row r="271" ht="15.75" customHeight="1" s="143"/>
    <row r="272" ht="15.75" customHeight="1" s="143"/>
    <row r="273" ht="15.75" customHeight="1" s="143"/>
    <row r="274" ht="15.75" customHeight="1" s="143"/>
    <row r="275" ht="15.75" customHeight="1" s="143"/>
    <row r="276" ht="15.75" customHeight="1" s="143"/>
    <row r="277" ht="15.75" customHeight="1" s="143"/>
    <row r="278" ht="15.75" customHeight="1" s="143"/>
    <row r="279" ht="15.75" customHeight="1" s="143"/>
    <row r="280" ht="15.75" customHeight="1" s="143"/>
    <row r="281" ht="15.75" customHeight="1" s="143"/>
    <row r="282" ht="15.75" customHeight="1" s="143"/>
    <row r="283" ht="15.75" customHeight="1" s="143"/>
    <row r="284" ht="15.75" customHeight="1" s="143"/>
    <row r="285" ht="15.75" customHeight="1" s="143"/>
    <row r="286" ht="15.75" customHeight="1" s="143"/>
    <row r="287" ht="15.75" customHeight="1" s="143"/>
    <row r="288" ht="15.75" customHeight="1" s="143"/>
    <row r="289" ht="15.75" customHeight="1" s="143"/>
    <row r="290" ht="15.75" customHeight="1" s="143"/>
    <row r="291" ht="15.75" customHeight="1" s="143"/>
    <row r="292" ht="15.75" customHeight="1" s="143"/>
    <row r="293" ht="15.75" customHeight="1" s="143"/>
    <row r="294" ht="15.75" customHeight="1" s="143"/>
    <row r="295" ht="15.75" customHeight="1" s="143"/>
    <row r="296" ht="15.75" customHeight="1" s="143"/>
    <row r="297" ht="15.75" customHeight="1" s="143"/>
    <row r="298" ht="15.75" customHeight="1" s="143"/>
    <row r="299" ht="15.75" customHeight="1" s="143"/>
    <row r="300" ht="15.75" customHeight="1" s="143"/>
    <row r="301" ht="15.75" customHeight="1" s="143"/>
    <row r="302" ht="15.75" customHeight="1" s="143"/>
    <row r="303" ht="15.75" customHeight="1" s="143"/>
    <row r="304" ht="15.75" customHeight="1" s="143"/>
    <row r="305" ht="15.75" customHeight="1" s="143"/>
    <row r="306" ht="15.75" customHeight="1" s="143"/>
    <row r="307" ht="15.75" customHeight="1" s="143"/>
    <row r="308" ht="15.75" customHeight="1" s="143"/>
    <row r="309" ht="15.75" customHeight="1" s="143"/>
    <row r="310" ht="15.75" customHeight="1" s="143"/>
    <row r="311" ht="15.75" customHeight="1" s="143"/>
    <row r="312" ht="15.75" customHeight="1" s="143"/>
    <row r="313" ht="15.75" customHeight="1" s="143"/>
    <row r="314" ht="15.75" customHeight="1" s="143"/>
    <row r="315" ht="15.75" customHeight="1" s="143"/>
    <row r="316" ht="15.75" customHeight="1" s="143"/>
    <row r="317" ht="15.75" customHeight="1" s="143"/>
    <row r="318" ht="15.75" customHeight="1" s="143"/>
    <row r="319" ht="15.75" customHeight="1" s="143"/>
    <row r="320" ht="15.75" customHeight="1" s="143"/>
    <row r="321" ht="15.75" customHeight="1" s="143"/>
    <row r="322" ht="15.75" customHeight="1" s="143"/>
    <row r="323" ht="15.75" customHeight="1" s="143"/>
    <row r="324" ht="15.75" customHeight="1" s="143"/>
    <row r="325" ht="15.75" customHeight="1" s="143"/>
    <row r="326" ht="15.75" customHeight="1" s="143"/>
    <row r="327" ht="15.75" customHeight="1" s="143"/>
    <row r="328" ht="15.75" customHeight="1" s="143"/>
    <row r="329" ht="15.75" customHeight="1" s="143"/>
    <row r="330" ht="15.75" customHeight="1" s="143"/>
    <row r="331" ht="15.75" customHeight="1" s="143"/>
    <row r="332" ht="15.75" customHeight="1" s="143"/>
    <row r="333" ht="15.75" customHeight="1" s="143"/>
    <row r="334" ht="15.75" customHeight="1" s="143"/>
    <row r="335" ht="15.75" customHeight="1" s="143"/>
    <row r="336" ht="15.75" customHeight="1" s="143"/>
    <row r="337" ht="15.75" customHeight="1" s="143"/>
    <row r="338" ht="15.75" customHeight="1" s="143"/>
    <row r="339" ht="15.75" customHeight="1" s="143"/>
    <row r="340" ht="15.75" customHeight="1" s="143"/>
    <row r="341" ht="15.75" customHeight="1" s="143"/>
    <row r="342" ht="15.75" customHeight="1" s="143"/>
    <row r="343" ht="15.75" customHeight="1" s="143"/>
    <row r="344" ht="15.75" customHeight="1" s="143"/>
    <row r="345" ht="15.75" customHeight="1" s="143"/>
    <row r="346" ht="15.75" customHeight="1" s="143"/>
    <row r="347" ht="15.75" customHeight="1" s="143"/>
    <row r="348" ht="15.75" customHeight="1" s="143"/>
    <row r="349" ht="15.75" customHeight="1" s="143"/>
    <row r="350" ht="15.75" customHeight="1" s="143"/>
    <row r="351" ht="15.75" customHeight="1" s="143"/>
    <row r="352" ht="15.75" customHeight="1" s="143"/>
    <row r="353" ht="15.75" customHeight="1" s="143"/>
    <row r="354" ht="15.75" customHeight="1" s="143"/>
    <row r="355" ht="15.75" customHeight="1" s="143"/>
    <row r="356" ht="15.75" customHeight="1" s="143"/>
    <row r="357" ht="15.75" customHeight="1" s="143"/>
    <row r="358" ht="15.75" customHeight="1" s="143"/>
    <row r="359" ht="15.75" customHeight="1" s="143"/>
    <row r="360" ht="15.75" customHeight="1" s="143"/>
    <row r="361" ht="15.75" customHeight="1" s="143"/>
    <row r="362" ht="15.75" customHeight="1" s="143"/>
    <row r="363" ht="15.75" customHeight="1" s="143"/>
    <row r="364" ht="15.75" customHeight="1" s="143"/>
    <row r="365" ht="15.75" customHeight="1" s="143"/>
    <row r="366" ht="15.75" customHeight="1" s="143"/>
    <row r="367" ht="15.75" customHeight="1" s="143"/>
    <row r="368" ht="15.75" customHeight="1" s="143"/>
    <row r="369" ht="15.75" customHeight="1" s="143"/>
    <row r="370" ht="15.75" customHeight="1" s="143"/>
    <row r="371" ht="15.75" customHeight="1" s="143"/>
    <row r="372" ht="15.75" customHeight="1" s="143"/>
    <row r="373" ht="15.75" customHeight="1" s="143"/>
    <row r="374" ht="15.75" customHeight="1" s="143"/>
    <row r="375" ht="15.75" customHeight="1" s="143"/>
    <row r="376" ht="15.75" customHeight="1" s="143"/>
    <row r="377" ht="15.75" customHeight="1" s="143"/>
    <row r="378" ht="15.75" customHeight="1" s="143"/>
    <row r="379" ht="15.75" customHeight="1" s="143"/>
    <row r="380" ht="15.75" customHeight="1" s="143"/>
    <row r="381" ht="15.75" customHeight="1" s="143"/>
    <row r="382" ht="15.75" customHeight="1" s="143"/>
    <row r="383" ht="15.75" customHeight="1" s="143"/>
    <row r="384" ht="15.75" customHeight="1" s="143"/>
    <row r="385" ht="15.75" customHeight="1" s="143"/>
    <row r="386" ht="15.75" customHeight="1" s="143"/>
    <row r="387" ht="15.75" customHeight="1" s="143"/>
    <row r="388" ht="15.75" customHeight="1" s="143"/>
    <row r="389" ht="15.75" customHeight="1" s="143"/>
    <row r="390" ht="15.75" customHeight="1" s="143"/>
    <row r="391" ht="15.75" customHeight="1" s="143"/>
    <row r="392" ht="15.75" customHeight="1" s="143"/>
    <row r="393" ht="15.75" customHeight="1" s="143"/>
    <row r="394" ht="15.75" customHeight="1" s="143"/>
    <row r="395" ht="15.75" customHeight="1" s="143"/>
    <row r="396" ht="15.75" customHeight="1" s="143"/>
    <row r="397" ht="15.75" customHeight="1" s="143"/>
    <row r="398" ht="15.75" customHeight="1" s="143"/>
    <row r="399" ht="15.75" customHeight="1" s="143"/>
    <row r="400" ht="15.75" customHeight="1" s="143"/>
    <row r="401" ht="15.75" customHeight="1" s="143"/>
    <row r="402" ht="15.75" customHeight="1" s="143"/>
    <row r="403" ht="15.75" customHeight="1" s="143"/>
    <row r="404" ht="15.75" customHeight="1" s="143"/>
    <row r="405" ht="15.75" customHeight="1" s="143"/>
    <row r="406" ht="15.75" customHeight="1" s="143"/>
    <row r="407" ht="15.75" customHeight="1" s="143"/>
    <row r="408" ht="15.75" customHeight="1" s="143"/>
    <row r="409" ht="15.75" customHeight="1" s="143"/>
    <row r="410" ht="15.75" customHeight="1" s="143"/>
    <row r="411" ht="15.75" customHeight="1" s="143"/>
    <row r="412" ht="15.75" customHeight="1" s="143"/>
    <row r="413" ht="15.75" customHeight="1" s="143"/>
    <row r="414" ht="15.75" customHeight="1" s="143"/>
    <row r="415" ht="15.75" customHeight="1" s="143"/>
    <row r="416" ht="15.75" customHeight="1" s="143"/>
    <row r="417" ht="15.75" customHeight="1" s="143"/>
    <row r="418" ht="15.75" customHeight="1" s="143"/>
    <row r="419" ht="15.75" customHeight="1" s="143"/>
    <row r="420" ht="15.75" customHeight="1" s="143"/>
    <row r="421" ht="15.75" customHeight="1" s="143"/>
    <row r="422" ht="15.75" customHeight="1" s="143"/>
    <row r="423" ht="15.75" customHeight="1" s="143"/>
    <row r="424" ht="15.75" customHeight="1" s="143"/>
    <row r="425" ht="15.75" customHeight="1" s="143"/>
    <row r="426" ht="15.75" customHeight="1" s="143"/>
    <row r="427" ht="15.75" customHeight="1" s="143"/>
    <row r="428" ht="15.75" customHeight="1" s="143"/>
    <row r="429" ht="15.75" customHeight="1" s="143"/>
    <row r="430" ht="15.75" customHeight="1" s="143"/>
    <row r="431" ht="15.75" customHeight="1" s="143"/>
    <row r="432" ht="15.75" customHeight="1" s="143"/>
    <row r="433" ht="15.75" customHeight="1" s="143"/>
    <row r="434" ht="15.75" customHeight="1" s="143"/>
    <row r="435" ht="15.75" customHeight="1" s="143"/>
    <row r="436" ht="15.75" customHeight="1" s="143"/>
    <row r="437" ht="15.75" customHeight="1" s="143"/>
    <row r="438" ht="15.75" customHeight="1" s="143"/>
    <row r="439" ht="15.75" customHeight="1" s="143"/>
    <row r="440" ht="15.75" customHeight="1" s="143"/>
    <row r="441" ht="15.75" customHeight="1" s="143"/>
    <row r="442" ht="15.75" customHeight="1" s="143"/>
    <row r="443" ht="15.75" customHeight="1" s="143"/>
    <row r="444" ht="15.75" customHeight="1" s="143"/>
    <row r="445" ht="15.75" customHeight="1" s="143"/>
    <row r="446" ht="15.75" customHeight="1" s="143"/>
    <row r="447" ht="15.75" customHeight="1" s="143"/>
    <row r="448" ht="15.75" customHeight="1" s="143"/>
    <row r="449" ht="15.75" customHeight="1" s="143"/>
    <row r="450" ht="15.75" customHeight="1" s="143"/>
    <row r="451" ht="15.75" customHeight="1" s="143"/>
    <row r="452" ht="15.75" customHeight="1" s="143"/>
    <row r="453" ht="15.75" customHeight="1" s="143"/>
    <row r="454" ht="15.75" customHeight="1" s="143"/>
    <row r="455" ht="15.75" customHeight="1" s="143"/>
    <row r="456" ht="15.75" customHeight="1" s="143"/>
    <row r="457" ht="15.75" customHeight="1" s="143"/>
    <row r="458" ht="15.75" customHeight="1" s="143"/>
    <row r="459" ht="15.75" customHeight="1" s="143"/>
    <row r="460" ht="15.75" customHeight="1" s="143"/>
    <row r="461" ht="15.75" customHeight="1" s="143"/>
    <row r="462" ht="15.75" customHeight="1" s="143"/>
    <row r="463" ht="15.75" customHeight="1" s="143"/>
    <row r="464" ht="15.75" customHeight="1" s="143"/>
    <row r="465" ht="15.75" customHeight="1" s="143"/>
    <row r="466" ht="15.75" customHeight="1" s="143"/>
    <row r="467" ht="15.75" customHeight="1" s="143"/>
    <row r="468" ht="15.75" customHeight="1" s="143"/>
    <row r="469" ht="15.75" customHeight="1" s="143"/>
    <row r="470" ht="15.75" customHeight="1" s="143"/>
    <row r="471" ht="15.75" customHeight="1" s="143"/>
    <row r="472" ht="15.75" customHeight="1" s="143"/>
    <row r="473" ht="15.75" customHeight="1" s="143"/>
    <row r="474" ht="15.75" customHeight="1" s="143"/>
    <row r="475" ht="15.75" customHeight="1" s="143"/>
    <row r="476" ht="15.75" customHeight="1" s="143"/>
    <row r="477" ht="15.75" customHeight="1" s="143"/>
    <row r="478" ht="15.75" customHeight="1" s="143"/>
    <row r="479" ht="15.75" customHeight="1" s="143"/>
    <row r="480" ht="15.75" customHeight="1" s="143"/>
    <row r="481" ht="15.75" customHeight="1" s="143"/>
    <row r="482" ht="15.75" customHeight="1" s="143"/>
    <row r="483" ht="15.75" customHeight="1" s="143"/>
    <row r="484" ht="15.75" customHeight="1" s="143"/>
    <row r="485" ht="15.75" customHeight="1" s="143"/>
    <row r="486" ht="15.75" customHeight="1" s="143"/>
    <row r="487" ht="15.75" customHeight="1" s="143"/>
    <row r="488" ht="15.75" customHeight="1" s="143"/>
    <row r="489" ht="15.75" customHeight="1" s="143"/>
    <row r="490" ht="15.75" customHeight="1" s="143"/>
    <row r="491" ht="15.75" customHeight="1" s="143"/>
    <row r="492" ht="15.75" customHeight="1" s="143"/>
    <row r="493" ht="15.75" customHeight="1" s="143"/>
    <row r="494" ht="15.75" customHeight="1" s="143"/>
    <row r="495" ht="15.75" customHeight="1" s="143"/>
    <row r="496" ht="15.75" customHeight="1" s="143"/>
    <row r="497" ht="15.75" customHeight="1" s="143"/>
    <row r="498" ht="15.75" customHeight="1" s="143"/>
    <row r="499" ht="15.75" customHeight="1" s="143"/>
    <row r="500" ht="15.75" customHeight="1" s="143"/>
    <row r="501" ht="15.75" customHeight="1" s="143"/>
    <row r="502" ht="15.75" customHeight="1" s="143"/>
    <row r="503" ht="15.75" customHeight="1" s="143"/>
    <row r="504" ht="15.75" customHeight="1" s="143"/>
    <row r="505" ht="15.75" customHeight="1" s="143"/>
    <row r="506" ht="15.75" customHeight="1" s="143"/>
    <row r="507" ht="15.75" customHeight="1" s="143"/>
    <row r="508" ht="15.75" customHeight="1" s="143"/>
    <row r="509" ht="15.75" customHeight="1" s="143"/>
    <row r="510" ht="15.75" customHeight="1" s="143"/>
    <row r="511" ht="15.75" customHeight="1" s="143"/>
    <row r="512" ht="15.75" customHeight="1" s="143"/>
    <row r="513" ht="15.75" customHeight="1" s="143"/>
    <row r="514" ht="15.75" customHeight="1" s="143"/>
    <row r="515" ht="15.75" customHeight="1" s="143"/>
    <row r="516" ht="15.75" customHeight="1" s="143"/>
    <row r="517" ht="15.75" customHeight="1" s="143"/>
    <row r="518" ht="15.75" customHeight="1" s="143"/>
    <row r="519" ht="15.75" customHeight="1" s="143"/>
    <row r="520" ht="15.75" customHeight="1" s="143"/>
    <row r="521" ht="15.75" customHeight="1" s="143"/>
    <row r="522" ht="15.75" customHeight="1" s="143"/>
    <row r="523" ht="15.75" customHeight="1" s="143"/>
    <row r="524" ht="15.75" customHeight="1" s="143"/>
    <row r="525" ht="15.75" customHeight="1" s="143"/>
    <row r="526" ht="15.75" customHeight="1" s="143"/>
    <row r="527" ht="15.75" customHeight="1" s="143"/>
    <row r="528" ht="15.75" customHeight="1" s="143"/>
    <row r="529" ht="15.75" customHeight="1" s="143"/>
    <row r="530" ht="15.75" customHeight="1" s="143"/>
    <row r="531" ht="15.75" customHeight="1" s="143"/>
    <row r="532" ht="15.75" customHeight="1" s="143"/>
    <row r="533" ht="15.75" customHeight="1" s="143"/>
    <row r="534" ht="15.75" customHeight="1" s="143"/>
    <row r="535" ht="15.75" customHeight="1" s="143"/>
    <row r="536" ht="15.75" customHeight="1" s="143"/>
    <row r="537" ht="15.75" customHeight="1" s="143"/>
    <row r="538" ht="15.75" customHeight="1" s="143"/>
    <row r="539" ht="15.75" customHeight="1" s="143"/>
    <row r="540" ht="15.75" customHeight="1" s="143"/>
    <row r="541" ht="15.75" customHeight="1" s="143"/>
    <row r="542" ht="15.75" customHeight="1" s="143"/>
    <row r="543" ht="15.75" customHeight="1" s="143"/>
    <row r="544" ht="15.75" customHeight="1" s="143"/>
    <row r="545" ht="15.75" customHeight="1" s="143"/>
    <row r="546" ht="15.75" customHeight="1" s="143"/>
    <row r="547" ht="15.75" customHeight="1" s="143"/>
    <row r="548" ht="15.75" customHeight="1" s="143"/>
    <row r="549" ht="15.75" customHeight="1" s="143"/>
    <row r="550" ht="15.75" customHeight="1" s="143"/>
    <row r="551" ht="15.75" customHeight="1" s="143"/>
    <row r="552" ht="15.75" customHeight="1" s="143"/>
    <row r="553" ht="15.75" customHeight="1" s="143"/>
    <row r="554" ht="15.75" customHeight="1" s="143"/>
    <row r="555" ht="15.75" customHeight="1" s="143"/>
    <row r="556" ht="15.75" customHeight="1" s="143"/>
    <row r="557" ht="15.75" customHeight="1" s="143"/>
    <row r="558" ht="15.75" customHeight="1" s="143"/>
    <row r="559" ht="15.75" customHeight="1" s="143"/>
    <row r="560" ht="15.75" customHeight="1" s="143"/>
    <row r="561" ht="15.75" customHeight="1" s="143"/>
    <row r="562" ht="15.75" customHeight="1" s="143"/>
    <row r="563" ht="15.75" customHeight="1" s="143"/>
    <row r="564" ht="15.75" customHeight="1" s="143"/>
    <row r="565" ht="15.75" customHeight="1" s="143"/>
    <row r="566" ht="15.75" customHeight="1" s="143"/>
    <row r="567" ht="15.75" customHeight="1" s="143"/>
    <row r="568" ht="15.75" customHeight="1" s="143"/>
    <row r="569" ht="15.75" customHeight="1" s="143"/>
    <row r="570" ht="15.75" customHeight="1" s="143"/>
    <row r="571" ht="15.75" customHeight="1" s="143"/>
    <row r="572" ht="15.75" customHeight="1" s="143"/>
    <row r="573" ht="15.75" customHeight="1" s="143"/>
    <row r="574" ht="15.75" customHeight="1" s="143"/>
    <row r="575" ht="15.75" customHeight="1" s="143"/>
    <row r="576" ht="15.75" customHeight="1" s="143"/>
    <row r="577" ht="15.75" customHeight="1" s="143"/>
    <row r="578" ht="15.75" customHeight="1" s="143"/>
    <row r="579" ht="15.75" customHeight="1" s="143"/>
    <row r="580" ht="15.75" customHeight="1" s="143"/>
    <row r="581" ht="15.75" customHeight="1" s="143"/>
    <row r="582" ht="15.75" customHeight="1" s="143"/>
    <row r="583" ht="15.75" customHeight="1" s="143"/>
    <row r="584" ht="15.75" customHeight="1" s="143"/>
    <row r="585" ht="15.75" customHeight="1" s="143"/>
    <row r="586" ht="15.75" customHeight="1" s="143"/>
    <row r="587" ht="15.75" customHeight="1" s="143"/>
    <row r="588" ht="15.75" customHeight="1" s="143"/>
    <row r="589" ht="15.75" customHeight="1" s="143"/>
    <row r="590" ht="15.75" customHeight="1" s="143"/>
    <row r="591" ht="15.75" customHeight="1" s="143"/>
    <row r="592" ht="15.75" customHeight="1" s="143"/>
    <row r="593" ht="15.75" customHeight="1" s="143"/>
    <row r="594" ht="15.75" customHeight="1" s="143"/>
    <row r="595" ht="15.75" customHeight="1" s="143"/>
    <row r="596" ht="15.75" customHeight="1" s="143"/>
    <row r="597" ht="15.75" customHeight="1" s="143"/>
    <row r="598" ht="15.75" customHeight="1" s="143"/>
    <row r="599" ht="15.75" customHeight="1" s="143"/>
    <row r="600" ht="15.75" customHeight="1" s="143"/>
    <row r="601" ht="15.75" customHeight="1" s="143"/>
    <row r="602" ht="15.75" customHeight="1" s="143"/>
    <row r="603" ht="15.75" customHeight="1" s="143"/>
    <row r="604" ht="15.75" customHeight="1" s="143"/>
    <row r="605" ht="15.75" customHeight="1" s="143"/>
    <row r="606" ht="15.75" customHeight="1" s="143"/>
    <row r="607" ht="15.75" customHeight="1" s="143"/>
    <row r="608" ht="15.75" customHeight="1" s="143"/>
    <row r="609" ht="15.75" customHeight="1" s="143"/>
    <row r="610" ht="15.75" customHeight="1" s="143"/>
    <row r="611" ht="15.75" customHeight="1" s="143"/>
    <row r="612" ht="15.75" customHeight="1" s="143"/>
    <row r="613" ht="15.75" customHeight="1" s="143"/>
    <row r="614" ht="15.75" customHeight="1" s="143"/>
    <row r="615" ht="15.75" customHeight="1" s="143"/>
    <row r="616" ht="15.75" customHeight="1" s="143"/>
    <row r="617" ht="15.75" customHeight="1" s="143"/>
    <row r="618" ht="15.75" customHeight="1" s="143"/>
    <row r="619" ht="15.75" customHeight="1" s="143"/>
    <row r="620" ht="15.75" customHeight="1" s="143"/>
    <row r="621" ht="15.75" customHeight="1" s="143"/>
    <row r="622" ht="15.75" customHeight="1" s="143"/>
    <row r="623" ht="15.75" customHeight="1" s="143"/>
    <row r="624" ht="15.75" customHeight="1" s="143"/>
    <row r="625" ht="15.75" customHeight="1" s="143"/>
    <row r="626" ht="15.75" customHeight="1" s="143"/>
    <row r="627" ht="15.75" customHeight="1" s="143"/>
    <row r="628" ht="15.75" customHeight="1" s="143"/>
    <row r="629" ht="15.75" customHeight="1" s="143"/>
    <row r="630" ht="15.75" customHeight="1" s="143"/>
    <row r="631" ht="15.75" customHeight="1" s="143"/>
    <row r="632" ht="15.75" customHeight="1" s="143"/>
    <row r="633" ht="15.75" customHeight="1" s="143"/>
    <row r="634" ht="15.75" customHeight="1" s="143"/>
    <row r="635" ht="15.75" customHeight="1" s="143"/>
    <row r="636" ht="15.75" customHeight="1" s="143"/>
    <row r="637" ht="15.75" customHeight="1" s="143"/>
    <row r="638" ht="15.75" customHeight="1" s="143"/>
    <row r="639" ht="15.75" customHeight="1" s="143"/>
    <row r="640" ht="15.75" customHeight="1" s="143"/>
    <row r="641" ht="15.75" customHeight="1" s="143"/>
    <row r="642" ht="15.75" customHeight="1" s="143"/>
    <row r="643" ht="15.75" customHeight="1" s="143"/>
    <row r="644" ht="15.75" customHeight="1" s="143"/>
    <row r="645" ht="15.75" customHeight="1" s="143"/>
    <row r="646" ht="15.75" customHeight="1" s="143"/>
    <row r="647" ht="15.75" customHeight="1" s="143"/>
    <row r="648" ht="15.75" customHeight="1" s="143"/>
    <row r="649" ht="15.75" customHeight="1" s="143"/>
    <row r="650" ht="15.75" customHeight="1" s="143"/>
    <row r="651" ht="15.75" customHeight="1" s="143"/>
    <row r="652" ht="15.75" customHeight="1" s="143"/>
    <row r="653" ht="15.75" customHeight="1" s="143"/>
    <row r="654" ht="15.75" customHeight="1" s="143"/>
    <row r="655" ht="15.75" customHeight="1" s="143"/>
    <row r="656" ht="15.75" customHeight="1" s="143"/>
    <row r="657" ht="15.75" customHeight="1" s="143"/>
    <row r="658" ht="15.75" customHeight="1" s="143"/>
    <row r="659" ht="15.75" customHeight="1" s="143"/>
    <row r="660" ht="15.75" customHeight="1" s="143"/>
    <row r="661" ht="15.75" customHeight="1" s="143"/>
    <row r="662" ht="15.75" customHeight="1" s="143"/>
    <row r="663" ht="15.75" customHeight="1" s="143"/>
    <row r="664" ht="15.75" customHeight="1" s="143"/>
    <row r="665" ht="15.75" customHeight="1" s="143"/>
    <row r="666" ht="15.75" customHeight="1" s="143"/>
    <row r="667" ht="15.75" customHeight="1" s="143"/>
    <row r="668" ht="15.75" customHeight="1" s="143"/>
    <row r="669" ht="15.75" customHeight="1" s="143"/>
    <row r="670" ht="15.75" customHeight="1" s="143"/>
    <row r="671" ht="15.75" customHeight="1" s="143"/>
    <row r="672" ht="15.75" customHeight="1" s="143"/>
    <row r="673" ht="15.75" customHeight="1" s="143"/>
    <row r="674" ht="15.75" customHeight="1" s="143"/>
    <row r="675" ht="15.75" customHeight="1" s="143"/>
    <row r="676" ht="15.75" customHeight="1" s="143"/>
    <row r="677" ht="15.75" customHeight="1" s="143"/>
    <row r="678" ht="15.75" customHeight="1" s="143"/>
    <row r="679" ht="15.75" customHeight="1" s="143"/>
    <row r="680" ht="15.75" customHeight="1" s="143"/>
    <row r="681" ht="15.75" customHeight="1" s="143"/>
    <row r="682" ht="15.75" customHeight="1" s="143"/>
    <row r="683" ht="15.75" customHeight="1" s="143"/>
    <row r="684" ht="15.75" customHeight="1" s="143"/>
    <row r="685" ht="15.75" customHeight="1" s="143"/>
    <row r="686" ht="15.75" customHeight="1" s="143"/>
    <row r="687" ht="15.75" customHeight="1" s="143"/>
    <row r="688" ht="15.75" customHeight="1" s="143"/>
    <row r="689" ht="15.75" customHeight="1" s="143"/>
    <row r="690" ht="15.75" customHeight="1" s="143"/>
    <row r="691" ht="15.75" customHeight="1" s="143"/>
    <row r="692" ht="15.75" customHeight="1" s="143"/>
    <row r="693" ht="15.75" customHeight="1" s="143"/>
    <row r="694" ht="15.75" customHeight="1" s="143"/>
    <row r="695" ht="15.75" customHeight="1" s="143"/>
    <row r="696" ht="15.75" customHeight="1" s="143"/>
    <row r="697" ht="15.75" customHeight="1" s="143"/>
    <row r="698" ht="15.75" customHeight="1" s="143"/>
    <row r="699" ht="15.75" customHeight="1" s="143"/>
    <row r="700" ht="15.75" customHeight="1" s="143"/>
    <row r="701" ht="15.75" customHeight="1" s="143"/>
    <row r="702" ht="15.75" customHeight="1" s="143"/>
    <row r="703" ht="15.75" customHeight="1" s="143"/>
    <row r="704" ht="15.75" customHeight="1" s="143"/>
    <row r="705" ht="15.75" customHeight="1" s="143"/>
    <row r="706" ht="15.75" customHeight="1" s="143"/>
    <row r="707" ht="15.75" customHeight="1" s="143"/>
    <row r="708" ht="15.75" customHeight="1" s="143"/>
    <row r="709" ht="15.75" customHeight="1" s="143"/>
    <row r="710" ht="15.75" customHeight="1" s="143"/>
    <row r="711" ht="15.75" customHeight="1" s="143"/>
    <row r="712" ht="15.75" customHeight="1" s="143"/>
    <row r="713" ht="15.75" customHeight="1" s="143"/>
    <row r="714" ht="15.75" customHeight="1" s="143"/>
    <row r="715" ht="15.75" customHeight="1" s="143"/>
    <row r="716" ht="15.75" customHeight="1" s="143"/>
    <row r="717" ht="15.75" customHeight="1" s="143"/>
    <row r="718" ht="15.75" customHeight="1" s="143"/>
    <row r="719" ht="15.75" customHeight="1" s="143"/>
    <row r="720" ht="15.75" customHeight="1" s="143"/>
    <row r="721" ht="15.75" customHeight="1" s="143"/>
    <row r="722" ht="15.75" customHeight="1" s="143"/>
    <row r="723" ht="15.75" customHeight="1" s="143"/>
    <row r="724" ht="15.75" customHeight="1" s="143"/>
    <row r="725" ht="15.75" customHeight="1" s="143"/>
    <row r="726" ht="15.75" customHeight="1" s="143"/>
    <row r="727" ht="15.75" customHeight="1" s="143"/>
    <row r="728" ht="15.75" customHeight="1" s="143"/>
    <row r="729" ht="15.75" customHeight="1" s="143"/>
    <row r="730" ht="15.75" customHeight="1" s="143"/>
    <row r="731" ht="15.75" customHeight="1" s="143"/>
    <row r="732" ht="15.75" customHeight="1" s="143"/>
    <row r="733" ht="15.75" customHeight="1" s="143"/>
    <row r="734" ht="15.75" customHeight="1" s="143"/>
    <row r="735" ht="15.75" customHeight="1" s="143"/>
    <row r="736" ht="15.75" customHeight="1" s="143"/>
    <row r="737" ht="15.75" customHeight="1" s="143"/>
    <row r="738" ht="15.75" customHeight="1" s="143"/>
    <row r="739" ht="15.75" customHeight="1" s="143"/>
    <row r="740" ht="15.75" customHeight="1" s="143"/>
    <row r="741" ht="15.75" customHeight="1" s="143"/>
    <row r="742" ht="15.75" customHeight="1" s="143"/>
    <row r="743" ht="15.75" customHeight="1" s="143"/>
    <row r="744" ht="15.75" customHeight="1" s="143"/>
    <row r="745" ht="15.75" customHeight="1" s="143"/>
    <row r="746" ht="15.75" customHeight="1" s="143"/>
    <row r="747" ht="15.75" customHeight="1" s="143"/>
    <row r="748" ht="15.75" customHeight="1" s="143"/>
    <row r="749" ht="15.75" customHeight="1" s="143"/>
    <row r="750" ht="15.75" customHeight="1" s="143"/>
    <row r="751" ht="15.75" customHeight="1" s="143"/>
    <row r="752" ht="15.75" customHeight="1" s="143"/>
    <row r="753" ht="15.75" customHeight="1" s="143"/>
    <row r="754" ht="15.75" customHeight="1" s="143"/>
    <row r="755" ht="15.75" customHeight="1" s="143"/>
    <row r="756" ht="15.75" customHeight="1" s="143"/>
    <row r="757" ht="15.75" customHeight="1" s="143"/>
    <row r="758" ht="15.75" customHeight="1" s="143"/>
    <row r="759" ht="15.75" customHeight="1" s="143"/>
    <row r="760" ht="15.75" customHeight="1" s="143"/>
    <row r="761" ht="15.75" customHeight="1" s="143"/>
    <row r="762" ht="15.75" customHeight="1" s="143"/>
    <row r="763" ht="15.75" customHeight="1" s="143"/>
    <row r="764" ht="15.75" customHeight="1" s="143"/>
    <row r="765" ht="15.75" customHeight="1" s="143"/>
    <row r="766" ht="15.75" customHeight="1" s="143"/>
    <row r="767" ht="15.75" customHeight="1" s="143"/>
    <row r="768" ht="15.75" customHeight="1" s="143"/>
    <row r="769" ht="15.75" customHeight="1" s="143"/>
    <row r="770" ht="15.75" customHeight="1" s="143"/>
    <row r="771" ht="15.75" customHeight="1" s="143"/>
    <row r="772" ht="15.75" customHeight="1" s="143"/>
    <row r="773" ht="15.75" customHeight="1" s="143"/>
    <row r="774" ht="15.75" customHeight="1" s="143"/>
    <row r="775" ht="15.75" customHeight="1" s="143"/>
    <row r="776" ht="15.75" customHeight="1" s="143"/>
    <row r="777" ht="15.75" customHeight="1" s="143"/>
    <row r="778" ht="15.75" customHeight="1" s="143"/>
    <row r="779" ht="15.75" customHeight="1" s="143"/>
    <row r="780" ht="15.75" customHeight="1" s="143"/>
    <row r="781" ht="15.75" customHeight="1" s="143"/>
    <row r="782" ht="15.75" customHeight="1" s="143"/>
    <row r="783" ht="15.75" customHeight="1" s="143"/>
    <row r="784" ht="15.75" customHeight="1" s="143"/>
    <row r="785" ht="15.75" customHeight="1" s="143"/>
    <row r="786" ht="15.75" customHeight="1" s="143"/>
    <row r="787" ht="15.75" customHeight="1" s="143"/>
    <row r="788" ht="15.75" customHeight="1" s="143"/>
    <row r="789" ht="15.75" customHeight="1" s="143"/>
    <row r="790" ht="15.75" customHeight="1" s="143"/>
    <row r="791" ht="15.75" customHeight="1" s="143"/>
    <row r="792" ht="15.75" customHeight="1" s="143"/>
    <row r="793" ht="15.75" customHeight="1" s="143"/>
    <row r="794" ht="15.75" customHeight="1" s="143"/>
    <row r="795" ht="15.75" customHeight="1" s="143"/>
    <row r="796" ht="15.75" customHeight="1" s="143"/>
    <row r="797" ht="15.75" customHeight="1" s="143"/>
    <row r="798" ht="15.75" customHeight="1" s="143"/>
    <row r="799" ht="15.75" customHeight="1" s="143"/>
    <row r="800" ht="15.75" customHeight="1" s="143"/>
    <row r="801" ht="15.75" customHeight="1" s="143"/>
    <row r="802" ht="15.75" customHeight="1" s="143"/>
    <row r="803" ht="15.75" customHeight="1" s="143"/>
    <row r="804" ht="15.75" customHeight="1" s="143"/>
    <row r="805" ht="15.75" customHeight="1" s="143"/>
    <row r="806" ht="15.75" customHeight="1" s="143"/>
    <row r="807" ht="15.75" customHeight="1" s="143"/>
    <row r="808" ht="15.75" customHeight="1" s="143"/>
    <row r="809" ht="15.75" customHeight="1" s="143"/>
    <row r="810" ht="15.75" customHeight="1" s="143"/>
    <row r="811" ht="15.75" customHeight="1" s="143"/>
    <row r="812" ht="15.75" customHeight="1" s="143"/>
    <row r="813" ht="15.75" customHeight="1" s="143"/>
    <row r="814" ht="15.75" customHeight="1" s="143"/>
    <row r="815" ht="15.75" customHeight="1" s="143"/>
    <row r="816" ht="15.75" customHeight="1" s="143"/>
    <row r="817" ht="15.75" customHeight="1" s="143"/>
    <row r="818" ht="15.75" customHeight="1" s="143"/>
    <row r="819" ht="15.75" customHeight="1" s="143"/>
    <row r="820" ht="15.75" customHeight="1" s="143"/>
    <row r="821" ht="15.75" customHeight="1" s="143"/>
    <row r="822" ht="15.75" customHeight="1" s="143"/>
    <row r="823" ht="15.75" customHeight="1" s="143"/>
    <row r="824" ht="15.75" customHeight="1" s="143"/>
    <row r="825" ht="15.75" customHeight="1" s="143"/>
    <row r="826" ht="15.75" customHeight="1" s="143"/>
    <row r="827" ht="15.75" customHeight="1" s="143"/>
    <row r="828" ht="15.75" customHeight="1" s="143"/>
    <row r="829" ht="15.75" customHeight="1" s="143"/>
    <row r="830" ht="15.75" customHeight="1" s="143"/>
    <row r="831" ht="15.75" customHeight="1" s="143"/>
    <row r="832" ht="15.75" customHeight="1" s="143"/>
    <row r="833" ht="15.75" customHeight="1" s="143"/>
    <row r="834" ht="15.75" customHeight="1" s="143"/>
    <row r="835" ht="15.75" customHeight="1" s="143"/>
    <row r="836" ht="15.75" customHeight="1" s="143"/>
    <row r="837" ht="15.75" customHeight="1" s="143"/>
    <row r="838" ht="15.75" customHeight="1" s="143"/>
    <row r="839" ht="15.75" customHeight="1" s="143"/>
    <row r="840" ht="15.75" customHeight="1" s="143"/>
    <row r="841" ht="15.75" customHeight="1" s="143"/>
    <row r="842" ht="15.75" customHeight="1" s="143"/>
    <row r="843" ht="15.75" customHeight="1" s="143"/>
    <row r="844" ht="15.75" customHeight="1" s="143"/>
    <row r="845" ht="15.75" customHeight="1" s="143"/>
    <row r="846" ht="15.75" customHeight="1" s="143"/>
    <row r="847" ht="15.75" customHeight="1" s="143"/>
    <row r="848" ht="15.75" customHeight="1" s="143"/>
    <row r="849" ht="15.75" customHeight="1" s="143"/>
    <row r="850" ht="15.75" customHeight="1" s="143"/>
    <row r="851" ht="15.75" customHeight="1" s="143"/>
    <row r="852" ht="15.75" customHeight="1" s="143"/>
    <row r="853" ht="15.75" customHeight="1" s="143"/>
    <row r="854" ht="15.75" customHeight="1" s="143"/>
    <row r="855" ht="15.75" customHeight="1" s="143"/>
    <row r="856" ht="15.75" customHeight="1" s="143"/>
    <row r="857" ht="15.75" customHeight="1" s="143"/>
    <row r="858" ht="15.75" customHeight="1" s="143"/>
    <row r="859" ht="15.75" customHeight="1" s="143"/>
    <row r="860" ht="15.75" customHeight="1" s="143"/>
    <row r="861" ht="15.75" customHeight="1" s="143"/>
    <row r="862" ht="15.75" customHeight="1" s="143"/>
    <row r="863" ht="15.75" customHeight="1" s="143"/>
    <row r="864" ht="15.75" customHeight="1" s="143"/>
    <row r="865" ht="15.75" customHeight="1" s="143"/>
    <row r="866" ht="15.75" customHeight="1" s="143"/>
    <row r="867" ht="15.75" customHeight="1" s="143"/>
    <row r="868" ht="15.75" customHeight="1" s="143"/>
    <row r="869" ht="15.75" customHeight="1" s="143"/>
    <row r="870" ht="15.75" customHeight="1" s="143"/>
    <row r="871" ht="15.75" customHeight="1" s="143"/>
    <row r="872" ht="15.75" customHeight="1" s="143"/>
    <row r="873" ht="15.75" customHeight="1" s="143"/>
    <row r="874" ht="15.75" customHeight="1" s="143"/>
    <row r="875" ht="15.75" customHeight="1" s="143"/>
    <row r="876" ht="15.75" customHeight="1" s="143"/>
    <row r="877" ht="15.75" customHeight="1" s="143"/>
    <row r="878" ht="15.75" customHeight="1" s="143"/>
    <row r="879" ht="15.75" customHeight="1" s="143"/>
    <row r="880" ht="15.75" customHeight="1" s="143"/>
    <row r="881" ht="15.75" customHeight="1" s="143"/>
    <row r="882" ht="15.75" customHeight="1" s="143"/>
    <row r="883" ht="15.75" customHeight="1" s="143"/>
    <row r="884" ht="15.75" customHeight="1" s="143"/>
    <row r="885" ht="15.75" customHeight="1" s="143"/>
    <row r="886" ht="15.75" customHeight="1" s="143"/>
    <row r="887" ht="15.75" customHeight="1" s="143"/>
    <row r="888" ht="15.75" customHeight="1" s="143"/>
    <row r="889" ht="15.75" customHeight="1" s="143"/>
    <row r="890" ht="15.75" customHeight="1" s="143"/>
    <row r="891" ht="15.75" customHeight="1" s="143"/>
    <row r="892" ht="15.75" customHeight="1" s="143"/>
    <row r="893" ht="15.75" customHeight="1" s="143"/>
    <row r="894" ht="15.75" customHeight="1" s="143"/>
    <row r="895" ht="15.75" customHeight="1" s="143"/>
    <row r="896" ht="15.75" customHeight="1" s="143"/>
    <row r="897" ht="15.75" customHeight="1" s="143"/>
    <row r="898" ht="15.75" customHeight="1" s="143"/>
    <row r="899" ht="15.75" customHeight="1" s="143"/>
    <row r="900" ht="15.75" customHeight="1" s="143"/>
    <row r="901" ht="15.75" customHeight="1" s="143"/>
    <row r="902" ht="15.75" customHeight="1" s="143"/>
    <row r="903" ht="15.75" customHeight="1" s="143"/>
    <row r="904" ht="15.75" customHeight="1" s="143"/>
    <row r="905" ht="15.75" customHeight="1" s="143"/>
    <row r="906" ht="15.75" customHeight="1" s="143"/>
    <row r="907" ht="15.75" customHeight="1" s="143"/>
    <row r="908" ht="15.75" customHeight="1" s="143"/>
    <row r="909" ht="15.75" customHeight="1" s="143"/>
    <row r="910" ht="15.75" customHeight="1" s="143"/>
    <row r="911" ht="15.75" customHeight="1" s="143"/>
    <row r="912" ht="15.75" customHeight="1" s="143"/>
    <row r="913" ht="15.75" customHeight="1" s="143"/>
    <row r="914" ht="15.75" customHeight="1" s="143"/>
    <row r="915" ht="15.75" customHeight="1" s="143"/>
    <row r="916" ht="15.75" customHeight="1" s="143"/>
    <row r="917" ht="15.75" customHeight="1" s="143"/>
    <row r="918" ht="15.75" customHeight="1" s="143"/>
    <row r="919" ht="15.75" customHeight="1" s="143"/>
    <row r="920" ht="15.75" customHeight="1" s="143"/>
    <row r="921" ht="15.75" customHeight="1" s="143"/>
    <row r="922" ht="15.75" customHeight="1" s="143"/>
    <row r="923" ht="15.75" customHeight="1" s="143"/>
    <row r="924" ht="15.75" customHeight="1" s="143"/>
    <row r="925" ht="15.75" customHeight="1" s="143"/>
    <row r="926" ht="15.75" customHeight="1" s="143"/>
    <row r="927" ht="15.75" customHeight="1" s="143"/>
    <row r="928" ht="15.75" customHeight="1" s="143"/>
    <row r="929" ht="15.75" customHeight="1" s="143"/>
    <row r="930" ht="15.75" customHeight="1" s="143"/>
    <row r="931" ht="15.75" customHeight="1" s="143"/>
    <row r="932" ht="15.75" customHeight="1" s="143"/>
    <row r="933" ht="15.75" customHeight="1" s="143"/>
    <row r="934" ht="15.75" customHeight="1" s="143"/>
    <row r="935" ht="15.75" customHeight="1" s="143"/>
    <row r="936" ht="15.75" customHeight="1" s="143"/>
    <row r="937" ht="15.75" customHeight="1" s="143"/>
    <row r="938" ht="15.75" customHeight="1" s="143"/>
    <row r="939" ht="15.75" customHeight="1" s="143"/>
    <row r="940" ht="15.75" customHeight="1" s="143"/>
    <row r="941" ht="15.75" customHeight="1" s="143"/>
    <row r="942" ht="15.75" customHeight="1" s="143"/>
    <row r="943" ht="15.75" customHeight="1" s="143"/>
    <row r="944" ht="15.75" customHeight="1" s="143"/>
    <row r="945" ht="15.75" customHeight="1" s="143"/>
    <row r="946" ht="15.75" customHeight="1" s="143"/>
    <row r="947" ht="15.75" customHeight="1" s="143"/>
    <row r="948" ht="15.75" customHeight="1" s="143"/>
    <row r="949" ht="15.75" customHeight="1" s="143"/>
    <row r="950" ht="15.75" customHeight="1" s="143"/>
    <row r="951" ht="15.75" customHeight="1" s="143"/>
    <row r="952" ht="15.75" customHeight="1" s="143"/>
    <row r="953" ht="15.75" customHeight="1" s="143"/>
    <row r="954" ht="15.75" customHeight="1" s="143"/>
    <row r="955" ht="15.75" customHeight="1" s="143"/>
    <row r="956" ht="15.75" customHeight="1" s="143"/>
    <row r="957" ht="15.75" customHeight="1" s="143"/>
    <row r="958" ht="15.75" customHeight="1" s="143"/>
    <row r="959" ht="15.75" customHeight="1" s="143"/>
    <row r="960" ht="15.75" customHeight="1" s="143"/>
    <row r="961" ht="15.75" customHeight="1" s="143"/>
    <row r="962" ht="15.75" customHeight="1" s="143"/>
    <row r="963" ht="15.75" customHeight="1" s="143"/>
    <row r="964" ht="15.75" customHeight="1" s="143"/>
    <row r="965" ht="15.75" customHeight="1" s="143"/>
    <row r="966" ht="15.75" customHeight="1" s="143"/>
    <row r="967" ht="15.75" customHeight="1" s="143"/>
    <row r="968" ht="15.75" customHeight="1" s="143"/>
    <row r="969" ht="15.75" customHeight="1" s="143"/>
    <row r="970" ht="15.75" customHeight="1" s="143"/>
    <row r="971" ht="15.75" customHeight="1" s="143"/>
    <row r="972" ht="15.75" customHeight="1" s="143"/>
    <row r="973" ht="15.75" customHeight="1" s="143"/>
    <row r="974" ht="15.75" customHeight="1" s="143"/>
    <row r="975" ht="15.75" customHeight="1" s="143"/>
    <row r="976" ht="15.75" customHeight="1" s="143"/>
    <row r="977" ht="15.75" customHeight="1" s="143"/>
    <row r="978" ht="15.75" customHeight="1" s="143"/>
    <row r="979" ht="15.75" customHeight="1" s="143"/>
    <row r="980" ht="15.75" customHeight="1" s="143"/>
    <row r="981" ht="15.75" customHeight="1" s="143"/>
    <row r="982" ht="15.75" customHeight="1" s="143"/>
    <row r="983" ht="15.75" customHeight="1" s="143"/>
    <row r="984" ht="15.75" customHeight="1" s="143"/>
    <row r="985" ht="15.75" customHeight="1" s="143"/>
    <row r="986" ht="15.75" customHeight="1" s="143"/>
    <row r="987" ht="15.75" customHeight="1" s="143"/>
    <row r="988" ht="15.75" customHeight="1" s="143"/>
    <row r="989" ht="15.75" customHeight="1" s="143"/>
    <row r="990" ht="15.75" customHeight="1" s="143"/>
    <row r="991" ht="15.75" customHeight="1" s="143"/>
    <row r="992" ht="15.75" customHeight="1" s="143"/>
    <row r="993" ht="15.75" customHeight="1" s="143"/>
    <row r="994" ht="15.75" customHeight="1" s="143"/>
    <row r="995" ht="15.75" customHeight="1" s="143"/>
    <row r="996" ht="15.75" customHeight="1" s="143"/>
    <row r="997" ht="15.75" customHeight="1" s="143"/>
    <row r="998" ht="15.75" customHeight="1" s="143"/>
    <row r="999" ht="15.75" customHeight="1" s="143"/>
    <row r="1000" ht="15.75" customHeight="1" s="143"/>
  </sheetData>
  <mergeCells count="3">
    <mergeCell ref="B52:N52"/>
    <mergeCell ref="A2:N2"/>
    <mergeCell ref="A1:N1"/>
  </mergeCells>
  <conditionalFormatting sqref="E5:E33">
    <cfRule type="expression" priority="1" dxfId="2">
      <formula>E5="Done"</formula>
    </cfRule>
    <cfRule type="expression" priority="2" dxfId="1">
      <formula>E5="En progreso"</formula>
    </cfRule>
    <cfRule type="expression" priority="3" dxfId="0">
      <formula>E5="Pendiente"</formula>
    </cfRule>
  </conditionalFormatting>
  <dataValidations count="5">
    <dataValidation sqref="H5:H24" showDropDown="0" showInputMessage="0" showErrorMessage="0" allowBlank="1" type="list">
      <formula1>"Crítica,Alta,Media,Baja"</formula1>
    </dataValidation>
    <dataValidation sqref="F5:F24" showDropDown="1" showInputMessage="0" showErrorMessage="0" allowBlank="1" type="custom">
      <formula1>AND(ISNUMBER(F5),(NOT(OR(NOT(ISERROR(DATEVALUE(F5))), AND(ISNUMBER(F5), LEFT(CELL("format", F5))="D")))))</formula1>
    </dataValidation>
    <dataValidation sqref="J5:J24" showDropDown="1" showInputMessage="0" showErrorMessage="1" allowBlank="1" type="list">
      <formula1>"MVP,Objetivo"</formula1>
    </dataValidation>
    <dataValidation sqref="G5:G24" showDropDown="1" showInputMessage="0" showErrorMessage="1" allowBlank="1" type="list">
      <formula1>"Sprint 3,Sprint 4,Sprint 5,Sprint 6,Sprint 7"</formula1>
    </dataValidation>
    <dataValidation sqref="E5:E33" showDropDown="0" showInputMessage="0" showErrorMessage="0" allowBlank="1" type="list">
      <formula1>"Done,En progreso,Pendiente"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10" defaultColWidth="12.625" defaultRowHeight="14.25"/>
  <cols>
    <col width="24" customWidth="1" style="143" min="1" max="1"/>
    <col width="35.125" customWidth="1" style="143" min="2" max="2"/>
    <col width="8.625" customWidth="1" style="143" min="3" max="3"/>
    <col width="10.375" customWidth="1" style="143" min="4" max="4"/>
    <col width="8.625" customWidth="1" style="143" min="5" max="5"/>
    <col width="19.125" customWidth="1" style="143" min="6" max="6"/>
  </cols>
  <sheetData>
    <row r="1" ht="57" customHeight="1" s="143">
      <c r="A1" s="60" t="inlineStr">
        <is>
          <t>CITAJUSTA — RESUMEN PRODUCT BACKLOG — CORTE 16-10-2026</t>
        </is>
      </c>
      <c r="B1" s="186" t="n"/>
      <c r="C1" s="186" t="n"/>
      <c r="D1" s="186" t="n"/>
      <c r="E1" s="186" t="n"/>
      <c r="F1" s="187" t="n"/>
    </row>
    <row r="3" ht="30" customHeight="1" s="143">
      <c r="A3" s="145" t="inlineStr">
        <is>
          <t>Indicador</t>
        </is>
      </c>
      <c r="B3" s="145" t="inlineStr">
        <is>
          <t>Valor</t>
        </is>
      </c>
      <c r="C3" s="3" t="n"/>
      <c r="D3" s="146" t="inlineStr">
        <is>
          <t>Estado</t>
        </is>
      </c>
      <c r="E3" s="146" t="inlineStr">
        <is>
          <t>Historias</t>
        </is>
      </c>
      <c r="F3" s="3" t="n"/>
    </row>
    <row r="4">
      <c r="A4" s="144" t="inlineStr">
        <is>
          <t>Historias totales</t>
        </is>
      </c>
      <c r="B4" s="144" t="n">
        <v>43</v>
      </c>
      <c r="C4" s="3" t="n"/>
      <c r="D4" s="5" t="inlineStr">
        <is>
          <t>Done</t>
        </is>
      </c>
      <c r="E4" s="5">
        <f>B6</f>
        <v/>
      </c>
      <c r="F4" s="3" t="n"/>
    </row>
    <row r="5" ht="28.5" customHeight="1" s="143">
      <c r="A5" s="144" t="inlineStr">
        <is>
          <t>Story Points base HU-001–HU-020</t>
        </is>
      </c>
      <c r="B5" s="144" t="n">
        <v>105</v>
      </c>
      <c r="C5" s="3" t="n"/>
      <c r="D5" s="5" t="inlineStr">
        <is>
          <t>En progreso</t>
        </is>
      </c>
      <c r="E5" s="5">
        <f>B7</f>
        <v/>
      </c>
      <c r="F5" s="3" t="n"/>
    </row>
    <row r="6">
      <c r="A6" s="144" t="inlineStr">
        <is>
          <t>Done</t>
        </is>
      </c>
      <c r="B6" s="144" t="n">
        <v>42</v>
      </c>
      <c r="C6" s="3" t="n"/>
      <c r="D6" s="5" t="inlineStr">
        <is>
          <t>Pendiente</t>
        </is>
      </c>
      <c r="E6" s="5">
        <f>B8</f>
        <v/>
      </c>
      <c r="F6" s="3" t="n"/>
    </row>
    <row r="7">
      <c r="A7" s="144" t="inlineStr">
        <is>
          <t>En progreso</t>
        </is>
      </c>
      <c r="B7" s="144" t="n">
        <v>0</v>
      </c>
      <c r="C7" s="3" t="n"/>
      <c r="D7" s="3" t="n"/>
      <c r="E7" s="3" t="n"/>
      <c r="F7" s="3" t="n"/>
    </row>
    <row r="8">
      <c r="A8" s="5" t="inlineStr">
        <is>
          <t>Pendiente</t>
        </is>
      </c>
      <c r="B8" s="5" t="n">
        <v>0</v>
      </c>
      <c r="C8" s="3" t="n"/>
      <c r="D8" s="3" t="inlineStr">
        <is>
          <t>Sprint</t>
        </is>
      </c>
      <c r="E8" s="3" t="inlineStr">
        <is>
          <t>Historias</t>
        </is>
      </c>
      <c r="F8" s="3" t="n"/>
    </row>
    <row r="9" ht="29.25" customHeight="1" s="143">
      <c r="A9" s="5" t="inlineStr">
        <is>
          <t>SP completados base HU-001–HU-020</t>
        </is>
      </c>
      <c r="B9" s="5" t="n">
        <v>105</v>
      </c>
      <c r="C9" s="3" t="n"/>
      <c r="D9" s="146" t="inlineStr">
        <is>
          <t>Sprint 3</t>
        </is>
      </c>
      <c r="E9" s="146" t="n">
        <v>2</v>
      </c>
      <c r="F9" s="146" t="n"/>
    </row>
    <row r="10">
      <c r="A10" s="5" t="inlineStr">
        <is>
          <t>Avance SP backlog base</t>
        </is>
      </c>
      <c r="B10" s="6" t="n">
        <v>1</v>
      </c>
      <c r="C10" s="3" t="n"/>
      <c r="D10" s="5" t="inlineStr">
        <is>
          <t>Sprint 4</t>
        </is>
      </c>
      <c r="E10" s="5" t="n">
        <v>5</v>
      </c>
      <c r="F10" s="5" t="n"/>
    </row>
    <row r="11">
      <c r="A11" s="5" t="inlineStr">
        <is>
          <t>Historias MVP</t>
        </is>
      </c>
      <c r="B11" s="5" t="n">
        <v>22</v>
      </c>
      <c r="C11" s="3" t="n"/>
      <c r="D11" s="5" t="inlineStr">
        <is>
          <t>Sprint 5</t>
        </is>
      </c>
      <c r="E11" s="5" t="n">
        <v>7</v>
      </c>
      <c r="F11" s="5" t="n"/>
    </row>
    <row r="12">
      <c r="A12" s="5" t="inlineStr">
        <is>
          <t>Historias Objetivo</t>
        </is>
      </c>
      <c r="B12" s="5" t="n">
        <v>21</v>
      </c>
      <c r="C12" s="3" t="n"/>
      <c r="D12" s="5" t="inlineStr">
        <is>
          <t>Sprint 6</t>
        </is>
      </c>
      <c r="E12" s="5" t="n">
        <v>8</v>
      </c>
      <c r="F12" s="5" t="n"/>
    </row>
    <row r="13">
      <c r="A13" s="3" t="n"/>
      <c r="B13" s="3" t="n"/>
      <c r="C13" s="3" t="n"/>
      <c r="D13" s="5" t="inlineStr">
        <is>
          <t>Sprint 7</t>
        </is>
      </c>
      <c r="E13" s="5" t="n">
        <v>16</v>
      </c>
      <c r="F13" s="5" t="n"/>
    </row>
    <row r="14">
      <c r="A14" s="3" t="n"/>
      <c r="B14" s="3" t="n"/>
      <c r="C14" s="3" t="n"/>
      <c r="D14" s="5" t="inlineStr">
        <is>
          <t>Sprint 8</t>
        </is>
      </c>
      <c r="E14" s="5" t="n">
        <v>5</v>
      </c>
      <c r="F14" s="5" t="n"/>
    </row>
    <row r="15" ht="15" customHeight="1" s="143">
      <c r="A15" s="188" t="inlineStr">
        <is>
          <t>Notas de actualización</t>
        </is>
      </c>
      <c r="B15" s="189" t="n"/>
      <c r="C15" s="3" t="n"/>
      <c r="D15" s="5" t="inlineStr">
        <is>
          <t>Total</t>
        </is>
      </c>
      <c r="E15" s="5">
        <f>""</f>
        <v/>
      </c>
      <c r="F15" s="5">
        <f>""</f>
        <v/>
      </c>
    </row>
    <row r="16" ht="32" customHeight="1" s="143">
      <c r="A16" s="190" t="inlineStr">
        <is>
          <t>• HU-001 a HU-042 con cierre de Issues confirmado al 16-10-2026.
• HU-043 fuera del alcance, no Done (Issue #165 cerrada con motivo administrativo COMPLETED).
• Mejora Resend V2 pendiente de commit/PR y validación visual en Gmail.
• Sprint 8 no tiene cierre formal verificado.
• 70% avance general y 80% técnico: estimaciones, no porcentaje calculado del backlog.</t>
        </is>
      </c>
      <c r="B16" s="191" t="n"/>
      <c r="C16" s="90" t="n"/>
      <c r="D16" s="90" t="n"/>
      <c r="E16" s="90" t="n"/>
      <c r="F16" s="90" t="n"/>
    </row>
    <row r="17" ht="32" customHeight="1" s="143">
      <c r="A17" s="192" t="n"/>
      <c r="B17" s="193" t="n"/>
      <c r="C17" s="90" t="n"/>
      <c r="D17" s="90" t="n"/>
      <c r="E17" s="90" t="n"/>
      <c r="F17" s="90" t="n"/>
    </row>
    <row r="18" ht="32" customHeight="1" s="143">
      <c r="A18" s="192" t="n"/>
      <c r="B18" s="193" t="n"/>
      <c r="C18" s="90" t="n"/>
      <c r="D18" s="90" t="n"/>
      <c r="E18" s="90" t="n"/>
      <c r="F18" s="90" t="n"/>
    </row>
    <row r="19" ht="32" customHeight="1" s="143">
      <c r="A19" s="192" t="n"/>
      <c r="B19" s="193" t="n"/>
      <c r="C19" s="90" t="n"/>
      <c r="D19" s="90" t="n"/>
      <c r="E19" s="90" t="n"/>
      <c r="F19" s="90" t="n"/>
    </row>
    <row r="20" ht="32" customHeight="1" s="143">
      <c r="A20" s="192" t="n"/>
      <c r="B20" s="193" t="n"/>
      <c r="C20" s="90" t="n"/>
      <c r="D20" s="90" t="n"/>
      <c r="E20" s="90" t="n"/>
      <c r="F20" s="90" t="n"/>
    </row>
    <row r="21" ht="32" customHeight="1" s="143">
      <c r="A21" s="194" t="n"/>
      <c r="B21" s="195" t="n"/>
    </row>
    <row r="22" ht="24" customHeight="1" s="143">
      <c r="A22" s="122" t="inlineStr">
        <is>
          <t>Último avance técnico incorporado al Backlog</t>
        </is>
      </c>
      <c r="B22" s="46" t="n"/>
      <c r="C22" s="46" t="n"/>
      <c r="D22" s="46" t="n"/>
      <c r="E22" s="46" t="n"/>
    </row>
    <row r="23" ht="30" customHeight="1" s="143">
      <c r="A23" s="196" t="inlineStr">
        <is>
          <t>HU-038 quedó mergeada a main mediante PR #147 (merge 5cc91d5), cerrando el bloque Desktop institucional de Sprint 7. El siguiente bloque planificado es Sprint 8 de integraciones externas con HU-039 a HU-043. Sprint 9 se reserva para Docker/Compose, OpenAPI, hardening/rendimiento, documentación/evidencias y preparación de defensa.</t>
        </is>
      </c>
      <c r="B23" s="197" t="n"/>
      <c r="C23" s="197" t="n"/>
      <c r="D23" s="197" t="n"/>
      <c r="E23" s="197" t="n"/>
      <c r="F23" s="159" t="n"/>
    </row>
    <row r="24" ht="30" customHeight="1" s="143">
      <c r="A24" s="192" t="n"/>
      <c r="E24" s="46" t="n"/>
      <c r="F24" s="109" t="n"/>
    </row>
    <row r="25" ht="30" customHeight="1" s="143">
      <c r="A25" s="194" t="n"/>
      <c r="B25" s="198" t="n"/>
      <c r="C25" s="198" t="n"/>
      <c r="D25" s="198" t="n"/>
      <c r="E25" s="198" t="n"/>
      <c r="F25" s="111" t="n"/>
    </row>
    <row r="26" ht="28" customHeight="1" s="143">
      <c r="A26" s="110" t="n"/>
      <c r="B26" s="90" t="n"/>
      <c r="C26" s="90" t="n"/>
      <c r="D26" s="90" t="n"/>
      <c r="E26" s="90" t="n"/>
      <c r="F26" s="111" t="n"/>
    </row>
    <row r="27" ht="28" customHeight="1" s="143">
      <c r="A27" s="112" t="n"/>
      <c r="B27" s="117" t="n"/>
      <c r="C27" s="117" t="n"/>
      <c r="D27" s="117" t="n"/>
      <c r="E27" s="117" t="n"/>
      <c r="F27" s="113" t="n"/>
    </row>
    <row r="28" ht="15.75" customHeight="1" s="143"/>
    <row r="29" ht="15.75" customHeight="1" s="143"/>
    <row r="30" ht="15.75" customHeight="1" s="143"/>
    <row r="31" ht="15.75" customHeight="1" s="143"/>
    <row r="32" ht="15.75" customHeight="1" s="143"/>
    <row r="33" ht="15.75" customHeight="1" s="143"/>
    <row r="34" ht="15.75" customHeight="1" s="143"/>
    <row r="35" ht="15.75" customHeight="1" s="143"/>
    <row r="36" ht="15.75" customHeight="1" s="143"/>
    <row r="37" ht="15.75" customHeight="1" s="143"/>
    <row r="38" ht="15.75" customHeight="1" s="143"/>
    <row r="39" ht="15.75" customHeight="1" s="143"/>
    <row r="40" ht="15.75" customHeight="1" s="143"/>
    <row r="41" ht="15.75" customHeight="1" s="143"/>
    <row r="42" ht="15.75" customHeight="1" s="143"/>
    <row r="43" ht="15.75" customHeight="1" s="143"/>
    <row r="44" ht="15.75" customHeight="1" s="143"/>
    <row r="45" ht="15.75" customHeight="1" s="143"/>
    <row r="46" ht="15.75" customHeight="1" s="143"/>
    <row r="47" ht="15.75" customHeight="1" s="143"/>
    <row r="48" ht="15.75" customHeight="1" s="143"/>
    <row r="49" ht="15.75" customHeight="1" s="143"/>
    <row r="50" ht="15.75" customHeight="1" s="143"/>
    <row r="51" ht="15.75" customHeight="1" s="143"/>
    <row r="52" ht="15.75" customHeight="1" s="143"/>
    <row r="53" ht="15.75" customHeight="1" s="143"/>
    <row r="54" ht="15.75" customHeight="1" s="143"/>
    <row r="55" ht="15.75" customHeight="1" s="143"/>
    <row r="56" ht="15.75" customHeight="1" s="143"/>
    <row r="57" ht="15.75" customHeight="1" s="143"/>
    <row r="58" ht="15.75" customHeight="1" s="143"/>
    <row r="59" ht="15.75" customHeight="1" s="143"/>
    <row r="60" ht="15.75" customHeight="1" s="143"/>
    <row r="61" ht="15.75" customHeight="1" s="143"/>
    <row r="62" ht="15.75" customHeight="1" s="143"/>
    <row r="63" ht="15.75" customHeight="1" s="143"/>
    <row r="64" ht="15.75" customHeight="1" s="143"/>
    <row r="65" ht="15.75" customHeight="1" s="143"/>
    <row r="66" ht="15.75" customHeight="1" s="143"/>
    <row r="67" ht="15.75" customHeight="1" s="143"/>
    <row r="68" ht="15.75" customHeight="1" s="143"/>
    <row r="69" ht="15.75" customHeight="1" s="143"/>
    <row r="70" ht="15.75" customHeight="1" s="143"/>
    <row r="71" ht="15.75" customHeight="1" s="143"/>
    <row r="72" ht="15.75" customHeight="1" s="143"/>
    <row r="73" ht="15.75" customHeight="1" s="143"/>
    <row r="74" ht="15.75" customHeight="1" s="143"/>
    <row r="75" ht="15.75" customHeight="1" s="143"/>
    <row r="76" ht="15.75" customHeight="1" s="143"/>
    <row r="77" ht="15.75" customHeight="1" s="143"/>
    <row r="78" ht="15.75" customHeight="1" s="143"/>
    <row r="79" ht="15.75" customHeight="1" s="143"/>
    <row r="80" ht="15.75" customHeight="1" s="143"/>
    <row r="81" ht="15.75" customHeight="1" s="143"/>
    <row r="82" ht="15.75" customHeight="1" s="143"/>
    <row r="83" ht="15.75" customHeight="1" s="143"/>
    <row r="84" ht="15.75" customHeight="1" s="143"/>
    <row r="85" ht="15.75" customHeight="1" s="143"/>
    <row r="86" ht="15.75" customHeight="1" s="143"/>
    <row r="87" ht="15.75" customHeight="1" s="143"/>
    <row r="88" ht="15.75" customHeight="1" s="143"/>
    <row r="89" ht="15.75" customHeight="1" s="143"/>
    <row r="90" ht="15.75" customHeight="1" s="143"/>
    <row r="91" ht="15.75" customHeight="1" s="143"/>
    <row r="92" ht="15.75" customHeight="1" s="143"/>
    <row r="93" ht="15.75" customHeight="1" s="143"/>
    <row r="94" ht="15.75" customHeight="1" s="143"/>
    <row r="95" ht="15.75" customHeight="1" s="143"/>
    <row r="96" ht="15.75" customHeight="1" s="143"/>
    <row r="97" ht="15.75" customHeight="1" s="143"/>
    <row r="98" ht="15.75" customHeight="1" s="143"/>
    <row r="99" ht="15.75" customHeight="1" s="143"/>
    <row r="100" ht="15.75" customHeight="1" s="143"/>
    <row r="101" ht="15.75" customHeight="1" s="143"/>
    <row r="102" ht="15.75" customHeight="1" s="143"/>
    <row r="103" ht="15.75" customHeight="1" s="143"/>
    <row r="104" ht="15.75" customHeight="1" s="143"/>
    <row r="105" ht="15.75" customHeight="1" s="143"/>
    <row r="106" ht="15.75" customHeight="1" s="143"/>
    <row r="107" ht="15.75" customHeight="1" s="143"/>
    <row r="108" ht="15.75" customHeight="1" s="143"/>
    <row r="109" ht="15.75" customHeight="1" s="143"/>
    <row r="110" ht="15.75" customHeight="1" s="143"/>
    <row r="111" ht="15.75" customHeight="1" s="143"/>
    <row r="112" ht="15.75" customHeight="1" s="143"/>
    <row r="113" ht="15.75" customHeight="1" s="143"/>
    <row r="114" ht="15.75" customHeight="1" s="143"/>
    <row r="115" ht="15.75" customHeight="1" s="143"/>
    <row r="116" ht="15.75" customHeight="1" s="143"/>
    <row r="117" ht="15.75" customHeight="1" s="143"/>
    <row r="118" ht="15.75" customHeight="1" s="143"/>
    <row r="119" ht="15.75" customHeight="1" s="143"/>
    <row r="120" ht="15.75" customHeight="1" s="143"/>
    <row r="121" ht="15.75" customHeight="1" s="143"/>
    <row r="122" ht="15.75" customHeight="1" s="143"/>
    <row r="123" ht="15.75" customHeight="1" s="143"/>
    <row r="124" ht="15.75" customHeight="1" s="143"/>
    <row r="125" ht="15.75" customHeight="1" s="143"/>
    <row r="126" ht="15.75" customHeight="1" s="143"/>
    <row r="127" ht="15.75" customHeight="1" s="143"/>
    <row r="128" ht="15.75" customHeight="1" s="143"/>
    <row r="129" ht="15.75" customHeight="1" s="143"/>
    <row r="130" ht="15.75" customHeight="1" s="143"/>
    <row r="131" ht="15.75" customHeight="1" s="143"/>
    <row r="132" ht="15.75" customHeight="1" s="143"/>
    <row r="133" ht="15.75" customHeight="1" s="143"/>
    <row r="134" ht="15.75" customHeight="1" s="143"/>
    <row r="135" ht="15.75" customHeight="1" s="143"/>
    <row r="136" ht="15.75" customHeight="1" s="143"/>
    <row r="137" ht="15.75" customHeight="1" s="143"/>
    <row r="138" ht="15.75" customHeight="1" s="143"/>
    <row r="139" ht="15.75" customHeight="1" s="143"/>
    <row r="140" ht="15.75" customHeight="1" s="143"/>
    <row r="141" ht="15.75" customHeight="1" s="143"/>
    <row r="142" ht="15.75" customHeight="1" s="143"/>
    <row r="143" ht="15.75" customHeight="1" s="143"/>
    <row r="144" ht="15.75" customHeight="1" s="143"/>
    <row r="145" ht="15.75" customHeight="1" s="143"/>
    <row r="146" ht="15.75" customHeight="1" s="143"/>
    <row r="147" ht="15.75" customHeight="1" s="143"/>
    <row r="148" ht="15.75" customHeight="1" s="143"/>
    <row r="149" ht="15.75" customHeight="1" s="143"/>
    <row r="150" ht="15.75" customHeight="1" s="143"/>
    <row r="151" ht="15.75" customHeight="1" s="143"/>
    <row r="152" ht="15.75" customHeight="1" s="143"/>
    <row r="153" ht="15.75" customHeight="1" s="143"/>
    <row r="154" ht="15.75" customHeight="1" s="143"/>
    <row r="155" ht="15.75" customHeight="1" s="143"/>
    <row r="156" ht="15.75" customHeight="1" s="143"/>
    <row r="157" ht="15.75" customHeight="1" s="143"/>
    <row r="158" ht="15.75" customHeight="1" s="143"/>
    <row r="159" ht="15.75" customHeight="1" s="143"/>
    <row r="160" ht="15.75" customHeight="1" s="143"/>
    <row r="161" ht="15.75" customHeight="1" s="143"/>
    <row r="162" ht="15.75" customHeight="1" s="143"/>
    <row r="163" ht="15.75" customHeight="1" s="143"/>
    <row r="164" ht="15.75" customHeight="1" s="143"/>
    <row r="165" ht="15.75" customHeight="1" s="143"/>
    <row r="166" ht="15.75" customHeight="1" s="143"/>
    <row r="167" ht="15.75" customHeight="1" s="143"/>
    <row r="168" ht="15.75" customHeight="1" s="143"/>
    <row r="169" ht="15.75" customHeight="1" s="143"/>
    <row r="170" ht="15.75" customHeight="1" s="143"/>
    <row r="171" ht="15.75" customHeight="1" s="143"/>
    <row r="172" ht="15.75" customHeight="1" s="143"/>
    <row r="173" ht="15.75" customHeight="1" s="143"/>
    <row r="174" ht="15.75" customHeight="1" s="143"/>
    <row r="175" ht="15.75" customHeight="1" s="143"/>
    <row r="176" ht="15.75" customHeight="1" s="143"/>
    <row r="177" ht="15.75" customHeight="1" s="143"/>
    <row r="178" ht="15.75" customHeight="1" s="143"/>
    <row r="179" ht="15.75" customHeight="1" s="143"/>
    <row r="180" ht="15.75" customHeight="1" s="143"/>
    <row r="181" ht="15.75" customHeight="1" s="143"/>
    <row r="182" ht="15.75" customHeight="1" s="143"/>
    <row r="183" ht="15.75" customHeight="1" s="143"/>
    <row r="184" ht="15.75" customHeight="1" s="143"/>
    <row r="185" ht="15.75" customHeight="1" s="143"/>
    <row r="186" ht="15.75" customHeight="1" s="143"/>
    <row r="187" ht="15.75" customHeight="1" s="143"/>
    <row r="188" ht="15.75" customHeight="1" s="143"/>
    <row r="189" ht="15.75" customHeight="1" s="143"/>
    <row r="190" ht="15.75" customHeight="1" s="143"/>
    <row r="191" ht="15.75" customHeight="1" s="143"/>
    <row r="192" ht="15.75" customHeight="1" s="143"/>
    <row r="193" ht="15.75" customHeight="1" s="143"/>
    <row r="194" ht="15.75" customHeight="1" s="143"/>
    <row r="195" ht="15.75" customHeight="1" s="143"/>
    <row r="196" ht="15.75" customHeight="1" s="143"/>
    <row r="197" ht="15.75" customHeight="1" s="143"/>
    <row r="198" ht="15.75" customHeight="1" s="143"/>
    <row r="199" ht="15.75" customHeight="1" s="143"/>
    <row r="200" ht="15.75" customHeight="1" s="143"/>
    <row r="201" ht="15.75" customHeight="1" s="143"/>
    <row r="202" ht="15.75" customHeight="1" s="143"/>
    <row r="203" ht="15.75" customHeight="1" s="143"/>
    <row r="204" ht="15.75" customHeight="1" s="143"/>
    <row r="205" ht="15.75" customHeight="1" s="143"/>
    <row r="206" ht="15.75" customHeight="1" s="143"/>
    <row r="207" ht="15.75" customHeight="1" s="143"/>
    <row r="208" ht="15.75" customHeight="1" s="143"/>
    <row r="209" ht="15.75" customHeight="1" s="143"/>
    <row r="210" ht="15.75" customHeight="1" s="143"/>
    <row r="211" ht="15.75" customHeight="1" s="143"/>
    <row r="212" ht="15.75" customHeight="1" s="143"/>
    <row r="213" ht="15.75" customHeight="1" s="143"/>
    <row r="214" ht="15.75" customHeight="1" s="143"/>
    <row r="215" ht="15.75" customHeight="1" s="143"/>
    <row r="216" ht="15.75" customHeight="1" s="143"/>
    <row r="217" ht="15.75" customHeight="1" s="143"/>
    <row r="218" ht="15.75" customHeight="1" s="143"/>
    <row r="219" ht="15.75" customHeight="1" s="143"/>
    <row r="220" ht="15.75" customHeight="1" s="143"/>
    <row r="221" ht="15.75" customHeight="1" s="143"/>
    <row r="222" ht="15.75" customHeight="1" s="143"/>
    <row r="223" ht="15.75" customHeight="1" s="143"/>
    <row r="224" ht="15.75" customHeight="1" s="143"/>
    <row r="225" ht="15.75" customHeight="1" s="143"/>
    <row r="226" ht="15.75" customHeight="1" s="143"/>
    <row r="227" ht="15.75" customHeight="1" s="143"/>
    <row r="228" ht="15.75" customHeight="1" s="143"/>
    <row r="229" ht="15.75" customHeight="1" s="143"/>
    <row r="230" ht="15.75" customHeight="1" s="143"/>
    <row r="231" ht="15.75" customHeight="1" s="143"/>
    <row r="232" ht="15.75" customHeight="1" s="143"/>
    <row r="233" ht="15.75" customHeight="1" s="143"/>
    <row r="234" ht="15.75" customHeight="1" s="143"/>
    <row r="235" ht="15.75" customHeight="1" s="143"/>
    <row r="236" ht="15.75" customHeight="1" s="143"/>
    <row r="237" ht="15.75" customHeight="1" s="143"/>
    <row r="238" ht="15.75" customHeight="1" s="143"/>
    <row r="239" ht="15.75" customHeight="1" s="143"/>
    <row r="240" ht="15.75" customHeight="1" s="143"/>
    <row r="241" ht="15.75" customHeight="1" s="143"/>
    <row r="242" ht="15.75" customHeight="1" s="143"/>
    <row r="243" ht="15.75" customHeight="1" s="143"/>
    <row r="244" ht="15.75" customHeight="1" s="143"/>
    <row r="245" ht="15.75" customHeight="1" s="143"/>
    <row r="246" ht="15.75" customHeight="1" s="143"/>
    <row r="247" ht="15.75" customHeight="1" s="143"/>
    <row r="248" ht="15.75" customHeight="1" s="143"/>
    <row r="249" ht="15.75" customHeight="1" s="143"/>
    <row r="250" ht="15.75" customHeight="1" s="143"/>
    <row r="251" ht="15.75" customHeight="1" s="143"/>
    <row r="252" ht="15.75" customHeight="1" s="143"/>
    <row r="253" ht="15.75" customHeight="1" s="143"/>
    <row r="254" ht="15.75" customHeight="1" s="143"/>
    <row r="255" ht="15.75" customHeight="1" s="143"/>
    <row r="256" ht="15.75" customHeight="1" s="143"/>
    <row r="257" ht="15.75" customHeight="1" s="143"/>
    <row r="258" ht="15.75" customHeight="1" s="143"/>
    <row r="259" ht="15.75" customHeight="1" s="143"/>
    <row r="260" ht="15.75" customHeight="1" s="143"/>
    <row r="261" ht="15.75" customHeight="1" s="143"/>
    <row r="262" ht="15.75" customHeight="1" s="143"/>
    <row r="263" ht="15.75" customHeight="1" s="143"/>
    <row r="264" ht="15.75" customHeight="1" s="143"/>
    <row r="265" ht="15.75" customHeight="1" s="143"/>
    <row r="266" ht="15.75" customHeight="1" s="143"/>
    <row r="267" ht="15.75" customHeight="1" s="143"/>
    <row r="268" ht="15.75" customHeight="1" s="143"/>
    <row r="269" ht="15.75" customHeight="1" s="143"/>
    <row r="270" ht="15.75" customHeight="1" s="143"/>
    <row r="271" ht="15.75" customHeight="1" s="143"/>
    <row r="272" ht="15.75" customHeight="1" s="143"/>
    <row r="273" ht="15.75" customHeight="1" s="143"/>
    <row r="274" ht="15.75" customHeight="1" s="143"/>
    <row r="275" ht="15.75" customHeight="1" s="143"/>
    <row r="276" ht="15.75" customHeight="1" s="143"/>
    <row r="277" ht="15.75" customHeight="1" s="143"/>
    <row r="278" ht="15.75" customHeight="1" s="143"/>
    <row r="279" ht="15.75" customHeight="1" s="143"/>
    <row r="280" ht="15.75" customHeight="1" s="143"/>
    <row r="281" ht="15.75" customHeight="1" s="143"/>
    <row r="282" ht="15.75" customHeight="1" s="143"/>
    <row r="283" ht="15.75" customHeight="1" s="143"/>
    <row r="284" ht="15.75" customHeight="1" s="143"/>
    <row r="285" ht="15.75" customHeight="1" s="143"/>
    <row r="286" ht="15.75" customHeight="1" s="143"/>
    <row r="287" ht="15.75" customHeight="1" s="143"/>
    <row r="288" ht="15.75" customHeight="1" s="143"/>
    <row r="289" ht="15.75" customHeight="1" s="143"/>
    <row r="290" ht="15.75" customHeight="1" s="143"/>
    <row r="291" ht="15.75" customHeight="1" s="143"/>
    <row r="292" ht="15.75" customHeight="1" s="143"/>
    <row r="293" ht="15.75" customHeight="1" s="143"/>
    <row r="294" ht="15.75" customHeight="1" s="143"/>
    <row r="295" ht="15.75" customHeight="1" s="143"/>
    <row r="296" ht="15.75" customHeight="1" s="143"/>
    <row r="297" ht="15.75" customHeight="1" s="143"/>
    <row r="298" ht="15.75" customHeight="1" s="143"/>
    <row r="299" ht="15.75" customHeight="1" s="143"/>
    <row r="300" ht="15.75" customHeight="1" s="143"/>
    <row r="301" ht="15.75" customHeight="1" s="143"/>
    <row r="302" ht="15.75" customHeight="1" s="143"/>
    <row r="303" ht="15.75" customHeight="1" s="143"/>
    <row r="304" ht="15.75" customHeight="1" s="143"/>
    <row r="305" ht="15.75" customHeight="1" s="143"/>
    <row r="306" ht="15.75" customHeight="1" s="143"/>
    <row r="307" ht="15.75" customHeight="1" s="143"/>
    <row r="308" ht="15.75" customHeight="1" s="143"/>
    <row r="309" ht="15.75" customHeight="1" s="143"/>
    <row r="310" ht="15.75" customHeight="1" s="143"/>
    <row r="311" ht="15.75" customHeight="1" s="143"/>
    <row r="312" ht="15.75" customHeight="1" s="143"/>
    <row r="313" ht="15.75" customHeight="1" s="143"/>
    <row r="314" ht="15.75" customHeight="1" s="143"/>
    <row r="315" ht="15.75" customHeight="1" s="143"/>
    <row r="316" ht="15.75" customHeight="1" s="143"/>
    <row r="317" ht="15.75" customHeight="1" s="143"/>
    <row r="318" ht="15.75" customHeight="1" s="143"/>
    <row r="319" ht="15.75" customHeight="1" s="143"/>
    <row r="320" ht="15.75" customHeight="1" s="143"/>
    <row r="321" ht="15.75" customHeight="1" s="143"/>
    <row r="322" ht="15.75" customHeight="1" s="143"/>
    <row r="323" ht="15.75" customHeight="1" s="143"/>
    <row r="324" ht="15.75" customHeight="1" s="143"/>
    <row r="325" ht="15.75" customHeight="1" s="143"/>
    <row r="326" ht="15.75" customHeight="1" s="143"/>
    <row r="327" ht="15.75" customHeight="1" s="143"/>
    <row r="328" ht="15.75" customHeight="1" s="143"/>
    <row r="329" ht="15.75" customHeight="1" s="143"/>
    <row r="330" ht="15.75" customHeight="1" s="143"/>
    <row r="331" ht="15.75" customHeight="1" s="143"/>
    <row r="332" ht="15.75" customHeight="1" s="143"/>
    <row r="333" ht="15.75" customHeight="1" s="143"/>
    <row r="334" ht="15.75" customHeight="1" s="143"/>
    <row r="335" ht="15.75" customHeight="1" s="143"/>
    <row r="336" ht="15.75" customHeight="1" s="143"/>
    <row r="337" ht="15.75" customHeight="1" s="143"/>
    <row r="338" ht="15.75" customHeight="1" s="143"/>
    <row r="339" ht="15.75" customHeight="1" s="143"/>
    <row r="340" ht="15.75" customHeight="1" s="143"/>
    <row r="341" ht="15.75" customHeight="1" s="143"/>
    <row r="342" ht="15.75" customHeight="1" s="143"/>
    <row r="343" ht="15.75" customHeight="1" s="143"/>
    <row r="344" ht="15.75" customHeight="1" s="143"/>
    <row r="345" ht="15.75" customHeight="1" s="143"/>
    <row r="346" ht="15.75" customHeight="1" s="143"/>
    <row r="347" ht="15.75" customHeight="1" s="143"/>
    <row r="348" ht="15.75" customHeight="1" s="143"/>
    <row r="349" ht="15.75" customHeight="1" s="143"/>
    <row r="350" ht="15.75" customHeight="1" s="143"/>
    <row r="351" ht="15.75" customHeight="1" s="143"/>
    <row r="352" ht="15.75" customHeight="1" s="143"/>
    <row r="353" ht="15.75" customHeight="1" s="143"/>
    <row r="354" ht="15.75" customHeight="1" s="143"/>
    <row r="355" ht="15.75" customHeight="1" s="143"/>
    <row r="356" ht="15.75" customHeight="1" s="143"/>
    <row r="357" ht="15.75" customHeight="1" s="143"/>
    <row r="358" ht="15.75" customHeight="1" s="143"/>
    <row r="359" ht="15.75" customHeight="1" s="143"/>
    <row r="360" ht="15.75" customHeight="1" s="143"/>
    <row r="361" ht="15.75" customHeight="1" s="143"/>
    <row r="362" ht="15.75" customHeight="1" s="143"/>
    <row r="363" ht="15.75" customHeight="1" s="143"/>
    <row r="364" ht="15.75" customHeight="1" s="143"/>
    <row r="365" ht="15.75" customHeight="1" s="143"/>
    <row r="366" ht="15.75" customHeight="1" s="143"/>
    <row r="367" ht="15.75" customHeight="1" s="143"/>
    <row r="368" ht="15.75" customHeight="1" s="143"/>
    <row r="369" ht="15.75" customHeight="1" s="143"/>
    <row r="370" ht="15.75" customHeight="1" s="143"/>
    <row r="371" ht="15.75" customHeight="1" s="143"/>
    <row r="372" ht="15.75" customHeight="1" s="143"/>
    <row r="373" ht="15.75" customHeight="1" s="143"/>
    <row r="374" ht="15.75" customHeight="1" s="143"/>
    <row r="375" ht="15.75" customHeight="1" s="143"/>
    <row r="376" ht="15.75" customHeight="1" s="143"/>
    <row r="377" ht="15.75" customHeight="1" s="143"/>
    <row r="378" ht="15.75" customHeight="1" s="143"/>
    <row r="379" ht="15.75" customHeight="1" s="143"/>
    <row r="380" ht="15.75" customHeight="1" s="143"/>
    <row r="381" ht="15.75" customHeight="1" s="143"/>
    <row r="382" ht="15.75" customHeight="1" s="143"/>
    <row r="383" ht="15.75" customHeight="1" s="143"/>
    <row r="384" ht="15.75" customHeight="1" s="143"/>
    <row r="385" ht="15.75" customHeight="1" s="143"/>
    <row r="386" ht="15.75" customHeight="1" s="143"/>
    <row r="387" ht="15.75" customHeight="1" s="143"/>
    <row r="388" ht="15.75" customHeight="1" s="143"/>
    <row r="389" ht="15.75" customHeight="1" s="143"/>
    <row r="390" ht="15.75" customHeight="1" s="143"/>
    <row r="391" ht="15.75" customHeight="1" s="143"/>
    <row r="392" ht="15.75" customHeight="1" s="143"/>
    <row r="393" ht="15.75" customHeight="1" s="143"/>
    <row r="394" ht="15.75" customHeight="1" s="143"/>
    <row r="395" ht="15.75" customHeight="1" s="143"/>
    <row r="396" ht="15.75" customHeight="1" s="143"/>
    <row r="397" ht="15.75" customHeight="1" s="143"/>
    <row r="398" ht="15.75" customHeight="1" s="143"/>
    <row r="399" ht="15.75" customHeight="1" s="143"/>
    <row r="400" ht="15.75" customHeight="1" s="143"/>
    <row r="401" ht="15.75" customHeight="1" s="143"/>
    <row r="402" ht="15.75" customHeight="1" s="143"/>
    <row r="403" ht="15.75" customHeight="1" s="143"/>
    <row r="404" ht="15.75" customHeight="1" s="143"/>
    <row r="405" ht="15.75" customHeight="1" s="143"/>
    <row r="406" ht="15.75" customHeight="1" s="143"/>
    <row r="407" ht="15.75" customHeight="1" s="143"/>
    <row r="408" ht="15.75" customHeight="1" s="143"/>
    <row r="409" ht="15.75" customHeight="1" s="143"/>
    <row r="410" ht="15.75" customHeight="1" s="143"/>
    <row r="411" ht="15.75" customHeight="1" s="143"/>
    <row r="412" ht="15.75" customHeight="1" s="143"/>
    <row r="413" ht="15.75" customHeight="1" s="143"/>
    <row r="414" ht="15.75" customHeight="1" s="143"/>
    <row r="415" ht="15.75" customHeight="1" s="143"/>
    <row r="416" ht="15.75" customHeight="1" s="143"/>
    <row r="417" ht="15.75" customHeight="1" s="143"/>
    <row r="418" ht="15.75" customHeight="1" s="143"/>
    <row r="419" ht="15.75" customHeight="1" s="143"/>
    <row r="420" ht="15.75" customHeight="1" s="143"/>
    <row r="421" ht="15.75" customHeight="1" s="143"/>
    <row r="422" ht="15.75" customHeight="1" s="143"/>
    <row r="423" ht="15.75" customHeight="1" s="143"/>
    <row r="424" ht="15.75" customHeight="1" s="143"/>
    <row r="425" ht="15.75" customHeight="1" s="143"/>
    <row r="426" ht="15.75" customHeight="1" s="143"/>
    <row r="427" ht="15.75" customHeight="1" s="143"/>
    <row r="428" ht="15.75" customHeight="1" s="143"/>
    <row r="429" ht="15.75" customHeight="1" s="143"/>
    <row r="430" ht="15.75" customHeight="1" s="143"/>
    <row r="431" ht="15.75" customHeight="1" s="143"/>
    <row r="432" ht="15.75" customHeight="1" s="143"/>
    <row r="433" ht="15.75" customHeight="1" s="143"/>
    <row r="434" ht="15.75" customHeight="1" s="143"/>
    <row r="435" ht="15.75" customHeight="1" s="143"/>
    <row r="436" ht="15.75" customHeight="1" s="143"/>
    <row r="437" ht="15.75" customHeight="1" s="143"/>
    <row r="438" ht="15.75" customHeight="1" s="143"/>
    <row r="439" ht="15.75" customHeight="1" s="143"/>
    <row r="440" ht="15.75" customHeight="1" s="143"/>
    <row r="441" ht="15.75" customHeight="1" s="143"/>
    <row r="442" ht="15.75" customHeight="1" s="143"/>
    <row r="443" ht="15.75" customHeight="1" s="143"/>
    <row r="444" ht="15.75" customHeight="1" s="143"/>
    <row r="445" ht="15.75" customHeight="1" s="143"/>
    <row r="446" ht="15.75" customHeight="1" s="143"/>
    <row r="447" ht="15.75" customHeight="1" s="143"/>
    <row r="448" ht="15.75" customHeight="1" s="143"/>
    <row r="449" ht="15.75" customHeight="1" s="143"/>
    <row r="450" ht="15.75" customHeight="1" s="143"/>
    <row r="451" ht="15.75" customHeight="1" s="143"/>
    <row r="452" ht="15.75" customHeight="1" s="143"/>
    <row r="453" ht="15.75" customHeight="1" s="143"/>
    <row r="454" ht="15.75" customHeight="1" s="143"/>
    <row r="455" ht="15.75" customHeight="1" s="143"/>
    <row r="456" ht="15.75" customHeight="1" s="143"/>
    <row r="457" ht="15.75" customHeight="1" s="143"/>
    <row r="458" ht="15.75" customHeight="1" s="143"/>
    <row r="459" ht="15.75" customHeight="1" s="143"/>
    <row r="460" ht="15.75" customHeight="1" s="143"/>
    <row r="461" ht="15.75" customHeight="1" s="143"/>
    <row r="462" ht="15.75" customHeight="1" s="143"/>
    <row r="463" ht="15.75" customHeight="1" s="143"/>
    <row r="464" ht="15.75" customHeight="1" s="143"/>
    <row r="465" ht="15.75" customHeight="1" s="143"/>
    <row r="466" ht="15.75" customHeight="1" s="143"/>
    <row r="467" ht="15.75" customHeight="1" s="143"/>
    <row r="468" ht="15.75" customHeight="1" s="143"/>
    <row r="469" ht="15.75" customHeight="1" s="143"/>
    <row r="470" ht="15.75" customHeight="1" s="143"/>
    <row r="471" ht="15.75" customHeight="1" s="143"/>
    <row r="472" ht="15.75" customHeight="1" s="143"/>
    <row r="473" ht="15.75" customHeight="1" s="143"/>
    <row r="474" ht="15.75" customHeight="1" s="143"/>
    <row r="475" ht="15.75" customHeight="1" s="143"/>
    <row r="476" ht="15.75" customHeight="1" s="143"/>
    <row r="477" ht="15.75" customHeight="1" s="143"/>
    <row r="478" ht="15.75" customHeight="1" s="143"/>
    <row r="479" ht="15.75" customHeight="1" s="143"/>
    <row r="480" ht="15.75" customHeight="1" s="143"/>
    <row r="481" ht="15.75" customHeight="1" s="143"/>
    <row r="482" ht="15.75" customHeight="1" s="143"/>
    <row r="483" ht="15.75" customHeight="1" s="143"/>
    <row r="484" ht="15.75" customHeight="1" s="143"/>
    <row r="485" ht="15.75" customHeight="1" s="143"/>
    <row r="486" ht="15.75" customHeight="1" s="143"/>
    <row r="487" ht="15.75" customHeight="1" s="143"/>
    <row r="488" ht="15.75" customHeight="1" s="143"/>
    <row r="489" ht="15.75" customHeight="1" s="143"/>
    <row r="490" ht="15.75" customHeight="1" s="143"/>
    <row r="491" ht="15.75" customHeight="1" s="143"/>
    <row r="492" ht="15.75" customHeight="1" s="143"/>
    <row r="493" ht="15.75" customHeight="1" s="143"/>
    <row r="494" ht="15.75" customHeight="1" s="143"/>
    <row r="495" ht="15.75" customHeight="1" s="143"/>
    <row r="496" ht="15.75" customHeight="1" s="143"/>
    <row r="497" ht="15.75" customHeight="1" s="143"/>
    <row r="498" ht="15.75" customHeight="1" s="143"/>
    <row r="499" ht="15.75" customHeight="1" s="143"/>
    <row r="500" ht="15.75" customHeight="1" s="143"/>
    <row r="501" ht="15.75" customHeight="1" s="143"/>
    <row r="502" ht="15.75" customHeight="1" s="143"/>
    <row r="503" ht="15.75" customHeight="1" s="143"/>
    <row r="504" ht="15.75" customHeight="1" s="143"/>
    <row r="505" ht="15.75" customHeight="1" s="143"/>
    <row r="506" ht="15.75" customHeight="1" s="143"/>
    <row r="507" ht="15.75" customHeight="1" s="143"/>
    <row r="508" ht="15.75" customHeight="1" s="143"/>
    <row r="509" ht="15.75" customHeight="1" s="143"/>
    <row r="510" ht="15.75" customHeight="1" s="143"/>
    <row r="511" ht="15.75" customHeight="1" s="143"/>
    <row r="512" ht="15.75" customHeight="1" s="143"/>
    <row r="513" ht="15.75" customHeight="1" s="143"/>
    <row r="514" ht="15.75" customHeight="1" s="143"/>
    <row r="515" ht="15.75" customHeight="1" s="143"/>
    <row r="516" ht="15.75" customHeight="1" s="143"/>
    <row r="517" ht="15.75" customHeight="1" s="143"/>
    <row r="518" ht="15.75" customHeight="1" s="143"/>
    <row r="519" ht="15.75" customHeight="1" s="143"/>
    <row r="520" ht="15.75" customHeight="1" s="143"/>
    <row r="521" ht="15.75" customHeight="1" s="143"/>
    <row r="522" ht="15.75" customHeight="1" s="143"/>
    <row r="523" ht="15.75" customHeight="1" s="143"/>
    <row r="524" ht="15.75" customHeight="1" s="143"/>
    <row r="525" ht="15.75" customHeight="1" s="143"/>
    <row r="526" ht="15.75" customHeight="1" s="143"/>
    <row r="527" ht="15.75" customHeight="1" s="143"/>
    <row r="528" ht="15.75" customHeight="1" s="143"/>
    <row r="529" ht="15.75" customHeight="1" s="143"/>
    <row r="530" ht="15.75" customHeight="1" s="143"/>
    <row r="531" ht="15.75" customHeight="1" s="143"/>
    <row r="532" ht="15.75" customHeight="1" s="143"/>
    <row r="533" ht="15.75" customHeight="1" s="143"/>
    <row r="534" ht="15.75" customHeight="1" s="143"/>
    <row r="535" ht="15.75" customHeight="1" s="143"/>
    <row r="536" ht="15.75" customHeight="1" s="143"/>
    <row r="537" ht="15.75" customHeight="1" s="143"/>
    <row r="538" ht="15.75" customHeight="1" s="143"/>
    <row r="539" ht="15.75" customHeight="1" s="143"/>
    <row r="540" ht="15.75" customHeight="1" s="143"/>
    <row r="541" ht="15.75" customHeight="1" s="143"/>
    <row r="542" ht="15.75" customHeight="1" s="143"/>
    <row r="543" ht="15.75" customHeight="1" s="143"/>
    <row r="544" ht="15.75" customHeight="1" s="143"/>
    <row r="545" ht="15.75" customHeight="1" s="143"/>
    <row r="546" ht="15.75" customHeight="1" s="143"/>
    <row r="547" ht="15.75" customHeight="1" s="143"/>
    <row r="548" ht="15.75" customHeight="1" s="143"/>
    <row r="549" ht="15.75" customHeight="1" s="143"/>
    <row r="550" ht="15.75" customHeight="1" s="143"/>
    <row r="551" ht="15.75" customHeight="1" s="143"/>
    <row r="552" ht="15.75" customHeight="1" s="143"/>
    <row r="553" ht="15.75" customHeight="1" s="143"/>
    <row r="554" ht="15.75" customHeight="1" s="143"/>
    <row r="555" ht="15.75" customHeight="1" s="143"/>
    <row r="556" ht="15.75" customHeight="1" s="143"/>
    <row r="557" ht="15.75" customHeight="1" s="143"/>
    <row r="558" ht="15.75" customHeight="1" s="143"/>
    <row r="559" ht="15.75" customHeight="1" s="143"/>
    <row r="560" ht="15.75" customHeight="1" s="143"/>
    <row r="561" ht="15.75" customHeight="1" s="143"/>
    <row r="562" ht="15.75" customHeight="1" s="143"/>
    <row r="563" ht="15.75" customHeight="1" s="143"/>
    <row r="564" ht="15.75" customHeight="1" s="143"/>
    <row r="565" ht="15.75" customHeight="1" s="143"/>
    <row r="566" ht="15.75" customHeight="1" s="143"/>
    <row r="567" ht="15.75" customHeight="1" s="143"/>
    <row r="568" ht="15.75" customHeight="1" s="143"/>
    <row r="569" ht="15.75" customHeight="1" s="143"/>
    <row r="570" ht="15.75" customHeight="1" s="143"/>
    <row r="571" ht="15.75" customHeight="1" s="143"/>
    <row r="572" ht="15.75" customHeight="1" s="143"/>
    <row r="573" ht="15.75" customHeight="1" s="143"/>
    <row r="574" ht="15.75" customHeight="1" s="143"/>
    <row r="575" ht="15.75" customHeight="1" s="143"/>
    <row r="576" ht="15.75" customHeight="1" s="143"/>
    <row r="577" ht="15.75" customHeight="1" s="143"/>
    <row r="578" ht="15.75" customHeight="1" s="143"/>
    <row r="579" ht="15.75" customHeight="1" s="143"/>
    <row r="580" ht="15.75" customHeight="1" s="143"/>
    <row r="581" ht="15.75" customHeight="1" s="143"/>
    <row r="582" ht="15.75" customHeight="1" s="143"/>
    <row r="583" ht="15.75" customHeight="1" s="143"/>
    <row r="584" ht="15.75" customHeight="1" s="143"/>
    <row r="585" ht="15.75" customHeight="1" s="143"/>
    <row r="586" ht="15.75" customHeight="1" s="143"/>
    <row r="587" ht="15.75" customHeight="1" s="143"/>
    <row r="588" ht="15.75" customHeight="1" s="143"/>
    <row r="589" ht="15.75" customHeight="1" s="143"/>
    <row r="590" ht="15.75" customHeight="1" s="143"/>
    <row r="591" ht="15.75" customHeight="1" s="143"/>
    <row r="592" ht="15.75" customHeight="1" s="143"/>
    <row r="593" ht="15.75" customHeight="1" s="143"/>
    <row r="594" ht="15.75" customHeight="1" s="143"/>
    <row r="595" ht="15.75" customHeight="1" s="143"/>
    <row r="596" ht="15.75" customHeight="1" s="143"/>
    <row r="597" ht="15.75" customHeight="1" s="143"/>
    <row r="598" ht="15.75" customHeight="1" s="143"/>
    <row r="599" ht="15.75" customHeight="1" s="143"/>
    <row r="600" ht="15.75" customHeight="1" s="143"/>
    <row r="601" ht="15.75" customHeight="1" s="143"/>
    <row r="602" ht="15.75" customHeight="1" s="143"/>
    <row r="603" ht="15.75" customHeight="1" s="143"/>
    <row r="604" ht="15.75" customHeight="1" s="143"/>
    <row r="605" ht="15.75" customHeight="1" s="143"/>
    <row r="606" ht="15.75" customHeight="1" s="143"/>
    <row r="607" ht="15.75" customHeight="1" s="143"/>
    <row r="608" ht="15.75" customHeight="1" s="143"/>
    <row r="609" ht="15.75" customHeight="1" s="143"/>
    <row r="610" ht="15.75" customHeight="1" s="143"/>
    <row r="611" ht="15.75" customHeight="1" s="143"/>
    <row r="612" ht="15.75" customHeight="1" s="143"/>
    <row r="613" ht="15.75" customHeight="1" s="143"/>
    <row r="614" ht="15.75" customHeight="1" s="143"/>
    <row r="615" ht="15.75" customHeight="1" s="143"/>
    <row r="616" ht="15.75" customHeight="1" s="143"/>
    <row r="617" ht="15.75" customHeight="1" s="143"/>
    <row r="618" ht="15.75" customHeight="1" s="143"/>
    <row r="619" ht="15.75" customHeight="1" s="143"/>
    <row r="620" ht="15.75" customHeight="1" s="143"/>
    <row r="621" ht="15.75" customHeight="1" s="143"/>
    <row r="622" ht="15.75" customHeight="1" s="143"/>
    <row r="623" ht="15.75" customHeight="1" s="143"/>
    <row r="624" ht="15.75" customHeight="1" s="143"/>
    <row r="625" ht="15.75" customHeight="1" s="143"/>
    <row r="626" ht="15.75" customHeight="1" s="143"/>
    <row r="627" ht="15.75" customHeight="1" s="143"/>
    <row r="628" ht="15.75" customHeight="1" s="143"/>
    <row r="629" ht="15.75" customHeight="1" s="143"/>
    <row r="630" ht="15.75" customHeight="1" s="143"/>
    <row r="631" ht="15.75" customHeight="1" s="143"/>
    <row r="632" ht="15.75" customHeight="1" s="143"/>
    <row r="633" ht="15.75" customHeight="1" s="143"/>
    <row r="634" ht="15.75" customHeight="1" s="143"/>
    <row r="635" ht="15.75" customHeight="1" s="143"/>
    <row r="636" ht="15.75" customHeight="1" s="143"/>
    <row r="637" ht="15.75" customHeight="1" s="143"/>
    <row r="638" ht="15.75" customHeight="1" s="143"/>
    <row r="639" ht="15.75" customHeight="1" s="143"/>
    <row r="640" ht="15.75" customHeight="1" s="143"/>
    <row r="641" ht="15.75" customHeight="1" s="143"/>
    <row r="642" ht="15.75" customHeight="1" s="143"/>
    <row r="643" ht="15.75" customHeight="1" s="143"/>
    <row r="644" ht="15.75" customHeight="1" s="143"/>
    <row r="645" ht="15.75" customHeight="1" s="143"/>
    <row r="646" ht="15.75" customHeight="1" s="143"/>
    <row r="647" ht="15.75" customHeight="1" s="143"/>
    <row r="648" ht="15.75" customHeight="1" s="143"/>
    <row r="649" ht="15.75" customHeight="1" s="143"/>
    <row r="650" ht="15.75" customHeight="1" s="143"/>
    <row r="651" ht="15.75" customHeight="1" s="143"/>
    <row r="652" ht="15.75" customHeight="1" s="143"/>
    <row r="653" ht="15.75" customHeight="1" s="143"/>
    <row r="654" ht="15.75" customHeight="1" s="143"/>
    <row r="655" ht="15.75" customHeight="1" s="143"/>
    <row r="656" ht="15.75" customHeight="1" s="143"/>
    <row r="657" ht="15.75" customHeight="1" s="143"/>
    <row r="658" ht="15.75" customHeight="1" s="143"/>
    <row r="659" ht="15.75" customHeight="1" s="143"/>
    <row r="660" ht="15.75" customHeight="1" s="143"/>
    <row r="661" ht="15.75" customHeight="1" s="143"/>
    <row r="662" ht="15.75" customHeight="1" s="143"/>
    <row r="663" ht="15.75" customHeight="1" s="143"/>
    <row r="664" ht="15.75" customHeight="1" s="143"/>
    <row r="665" ht="15.75" customHeight="1" s="143"/>
    <row r="666" ht="15.75" customHeight="1" s="143"/>
    <row r="667" ht="15.75" customHeight="1" s="143"/>
    <row r="668" ht="15.75" customHeight="1" s="143"/>
    <row r="669" ht="15.75" customHeight="1" s="143"/>
    <row r="670" ht="15.75" customHeight="1" s="143"/>
    <row r="671" ht="15.75" customHeight="1" s="143"/>
    <row r="672" ht="15.75" customHeight="1" s="143"/>
    <row r="673" ht="15.75" customHeight="1" s="143"/>
    <row r="674" ht="15.75" customHeight="1" s="143"/>
    <row r="675" ht="15.75" customHeight="1" s="143"/>
    <row r="676" ht="15.75" customHeight="1" s="143"/>
    <row r="677" ht="15.75" customHeight="1" s="143"/>
    <row r="678" ht="15.75" customHeight="1" s="143"/>
    <row r="679" ht="15.75" customHeight="1" s="143"/>
    <row r="680" ht="15.75" customHeight="1" s="143"/>
    <row r="681" ht="15.75" customHeight="1" s="143"/>
    <row r="682" ht="15.75" customHeight="1" s="143"/>
    <row r="683" ht="15.75" customHeight="1" s="143"/>
    <row r="684" ht="15.75" customHeight="1" s="143"/>
    <row r="685" ht="15.75" customHeight="1" s="143"/>
    <row r="686" ht="15.75" customHeight="1" s="143"/>
    <row r="687" ht="15.75" customHeight="1" s="143"/>
    <row r="688" ht="15.75" customHeight="1" s="143"/>
    <row r="689" ht="15.75" customHeight="1" s="143"/>
    <row r="690" ht="15.75" customHeight="1" s="143"/>
    <row r="691" ht="15.75" customHeight="1" s="143"/>
    <row r="692" ht="15.75" customHeight="1" s="143"/>
    <row r="693" ht="15.75" customHeight="1" s="143"/>
    <row r="694" ht="15.75" customHeight="1" s="143"/>
    <row r="695" ht="15.75" customHeight="1" s="143"/>
    <row r="696" ht="15.75" customHeight="1" s="143"/>
    <row r="697" ht="15.75" customHeight="1" s="143"/>
    <row r="698" ht="15.75" customHeight="1" s="143"/>
    <row r="699" ht="15.75" customHeight="1" s="143"/>
    <row r="700" ht="15.75" customHeight="1" s="143"/>
    <row r="701" ht="15.75" customHeight="1" s="143"/>
    <row r="702" ht="15.75" customHeight="1" s="143"/>
    <row r="703" ht="15.75" customHeight="1" s="143"/>
    <row r="704" ht="15.75" customHeight="1" s="143"/>
    <row r="705" ht="15.75" customHeight="1" s="143"/>
    <row r="706" ht="15.75" customHeight="1" s="143"/>
    <row r="707" ht="15.75" customHeight="1" s="143"/>
    <row r="708" ht="15.75" customHeight="1" s="143"/>
    <row r="709" ht="15.75" customHeight="1" s="143"/>
    <row r="710" ht="15.75" customHeight="1" s="143"/>
    <row r="711" ht="15.75" customHeight="1" s="143"/>
    <row r="712" ht="15.75" customHeight="1" s="143"/>
    <row r="713" ht="15.75" customHeight="1" s="143"/>
    <row r="714" ht="15.75" customHeight="1" s="143"/>
    <row r="715" ht="15.75" customHeight="1" s="143"/>
    <row r="716" ht="15.75" customHeight="1" s="143"/>
    <row r="717" ht="15.75" customHeight="1" s="143"/>
    <row r="718" ht="15.75" customHeight="1" s="143"/>
    <row r="719" ht="15.75" customHeight="1" s="143"/>
    <row r="720" ht="15.75" customHeight="1" s="143"/>
    <row r="721" ht="15.75" customHeight="1" s="143"/>
    <row r="722" ht="15.75" customHeight="1" s="143"/>
    <row r="723" ht="15.75" customHeight="1" s="143"/>
    <row r="724" ht="15.75" customHeight="1" s="143"/>
    <row r="725" ht="15.75" customHeight="1" s="143"/>
    <row r="726" ht="15.75" customHeight="1" s="143"/>
    <row r="727" ht="15.75" customHeight="1" s="143"/>
    <row r="728" ht="15.75" customHeight="1" s="143"/>
    <row r="729" ht="15.75" customHeight="1" s="143"/>
    <row r="730" ht="15.75" customHeight="1" s="143"/>
    <row r="731" ht="15.75" customHeight="1" s="143"/>
    <row r="732" ht="15.75" customHeight="1" s="143"/>
    <row r="733" ht="15.75" customHeight="1" s="143"/>
    <row r="734" ht="15.75" customHeight="1" s="143"/>
    <row r="735" ht="15.75" customHeight="1" s="143"/>
    <row r="736" ht="15.75" customHeight="1" s="143"/>
    <row r="737" ht="15.75" customHeight="1" s="143"/>
    <row r="738" ht="15.75" customHeight="1" s="143"/>
    <row r="739" ht="15.75" customHeight="1" s="143"/>
    <row r="740" ht="15.75" customHeight="1" s="143"/>
    <row r="741" ht="15.75" customHeight="1" s="143"/>
    <row r="742" ht="15.75" customHeight="1" s="143"/>
    <row r="743" ht="15.75" customHeight="1" s="143"/>
    <row r="744" ht="15.75" customHeight="1" s="143"/>
    <row r="745" ht="15.75" customHeight="1" s="143"/>
    <row r="746" ht="15.75" customHeight="1" s="143"/>
    <row r="747" ht="15.75" customHeight="1" s="143"/>
    <row r="748" ht="15.75" customHeight="1" s="143"/>
    <row r="749" ht="15.75" customHeight="1" s="143"/>
    <row r="750" ht="15.75" customHeight="1" s="143"/>
    <row r="751" ht="15.75" customHeight="1" s="143"/>
    <row r="752" ht="15.75" customHeight="1" s="143"/>
    <row r="753" ht="15.75" customHeight="1" s="143"/>
    <row r="754" ht="15.75" customHeight="1" s="143"/>
    <row r="755" ht="15.75" customHeight="1" s="143"/>
    <row r="756" ht="15.75" customHeight="1" s="143"/>
    <row r="757" ht="15.75" customHeight="1" s="143"/>
    <row r="758" ht="15.75" customHeight="1" s="143"/>
    <row r="759" ht="15.75" customHeight="1" s="143"/>
    <row r="760" ht="15.75" customHeight="1" s="143"/>
    <row r="761" ht="15.75" customHeight="1" s="143"/>
    <row r="762" ht="15.75" customHeight="1" s="143"/>
    <row r="763" ht="15.75" customHeight="1" s="143"/>
    <row r="764" ht="15.75" customHeight="1" s="143"/>
    <row r="765" ht="15.75" customHeight="1" s="143"/>
    <row r="766" ht="15.75" customHeight="1" s="143"/>
    <row r="767" ht="15.75" customHeight="1" s="143"/>
    <row r="768" ht="15.75" customHeight="1" s="143"/>
    <row r="769" ht="15.75" customHeight="1" s="143"/>
    <row r="770" ht="15.75" customHeight="1" s="143"/>
    <row r="771" ht="15.75" customHeight="1" s="143"/>
    <row r="772" ht="15.75" customHeight="1" s="143"/>
    <row r="773" ht="15.75" customHeight="1" s="143"/>
    <row r="774" ht="15.75" customHeight="1" s="143"/>
    <row r="775" ht="15.75" customHeight="1" s="143"/>
    <row r="776" ht="15.75" customHeight="1" s="143"/>
    <row r="777" ht="15.75" customHeight="1" s="143"/>
    <row r="778" ht="15.75" customHeight="1" s="143"/>
    <row r="779" ht="15.75" customHeight="1" s="143"/>
    <row r="780" ht="15.75" customHeight="1" s="143"/>
    <row r="781" ht="15.75" customHeight="1" s="143"/>
    <row r="782" ht="15.75" customHeight="1" s="143"/>
    <row r="783" ht="15.75" customHeight="1" s="143"/>
    <row r="784" ht="15.75" customHeight="1" s="143"/>
    <row r="785" ht="15.75" customHeight="1" s="143"/>
    <row r="786" ht="15.75" customHeight="1" s="143"/>
    <row r="787" ht="15.75" customHeight="1" s="143"/>
    <row r="788" ht="15.75" customHeight="1" s="143"/>
    <row r="789" ht="15.75" customHeight="1" s="143"/>
    <row r="790" ht="15.75" customHeight="1" s="143"/>
    <row r="791" ht="15.75" customHeight="1" s="143"/>
    <row r="792" ht="15.75" customHeight="1" s="143"/>
    <row r="793" ht="15.75" customHeight="1" s="143"/>
    <row r="794" ht="15.75" customHeight="1" s="143"/>
    <row r="795" ht="15.75" customHeight="1" s="143"/>
    <row r="796" ht="15.75" customHeight="1" s="143"/>
    <row r="797" ht="15.75" customHeight="1" s="143"/>
    <row r="798" ht="15.75" customHeight="1" s="143"/>
    <row r="799" ht="15.75" customHeight="1" s="143"/>
    <row r="800" ht="15.75" customHeight="1" s="143"/>
    <row r="801" ht="15.75" customHeight="1" s="143"/>
    <row r="802" ht="15.75" customHeight="1" s="143"/>
    <row r="803" ht="15.75" customHeight="1" s="143"/>
    <row r="804" ht="15.75" customHeight="1" s="143"/>
    <row r="805" ht="15.75" customHeight="1" s="143"/>
    <row r="806" ht="15.75" customHeight="1" s="143"/>
    <row r="807" ht="15.75" customHeight="1" s="143"/>
    <row r="808" ht="15.75" customHeight="1" s="143"/>
    <row r="809" ht="15.75" customHeight="1" s="143"/>
    <row r="810" ht="15.75" customHeight="1" s="143"/>
    <row r="811" ht="15.75" customHeight="1" s="143"/>
    <row r="812" ht="15.75" customHeight="1" s="143"/>
    <row r="813" ht="15.75" customHeight="1" s="143"/>
    <row r="814" ht="15.75" customHeight="1" s="143"/>
    <row r="815" ht="15.75" customHeight="1" s="143"/>
    <row r="816" ht="15.75" customHeight="1" s="143"/>
    <row r="817" ht="15.75" customHeight="1" s="143"/>
    <row r="818" ht="15.75" customHeight="1" s="143"/>
    <row r="819" ht="15.75" customHeight="1" s="143"/>
    <row r="820" ht="15.75" customHeight="1" s="143"/>
    <row r="821" ht="15.75" customHeight="1" s="143"/>
    <row r="822" ht="15.75" customHeight="1" s="143"/>
    <row r="823" ht="15.75" customHeight="1" s="143"/>
    <row r="824" ht="15.75" customHeight="1" s="143"/>
    <row r="825" ht="15.75" customHeight="1" s="143"/>
    <row r="826" ht="15.75" customHeight="1" s="143"/>
    <row r="827" ht="15.75" customHeight="1" s="143"/>
    <row r="828" ht="15.75" customHeight="1" s="143"/>
    <row r="829" ht="15.75" customHeight="1" s="143"/>
    <row r="830" ht="15.75" customHeight="1" s="143"/>
    <row r="831" ht="15.75" customHeight="1" s="143"/>
    <row r="832" ht="15.75" customHeight="1" s="143"/>
    <row r="833" ht="15.75" customHeight="1" s="143"/>
    <row r="834" ht="15.75" customHeight="1" s="143"/>
    <row r="835" ht="15.75" customHeight="1" s="143"/>
    <row r="836" ht="15.75" customHeight="1" s="143"/>
    <row r="837" ht="15.75" customHeight="1" s="143"/>
    <row r="838" ht="15.75" customHeight="1" s="143"/>
    <row r="839" ht="15.75" customHeight="1" s="143"/>
    <row r="840" ht="15.75" customHeight="1" s="143"/>
    <row r="841" ht="15.75" customHeight="1" s="143"/>
    <row r="842" ht="15.75" customHeight="1" s="143"/>
    <row r="843" ht="15.75" customHeight="1" s="143"/>
    <row r="844" ht="15.75" customHeight="1" s="143"/>
    <row r="845" ht="15.75" customHeight="1" s="143"/>
    <row r="846" ht="15.75" customHeight="1" s="143"/>
    <row r="847" ht="15.75" customHeight="1" s="143"/>
    <row r="848" ht="15.75" customHeight="1" s="143"/>
    <row r="849" ht="15.75" customHeight="1" s="143"/>
    <row r="850" ht="15.75" customHeight="1" s="143"/>
    <row r="851" ht="15.75" customHeight="1" s="143"/>
    <row r="852" ht="15.75" customHeight="1" s="143"/>
    <row r="853" ht="15.75" customHeight="1" s="143"/>
    <row r="854" ht="15.75" customHeight="1" s="143"/>
    <row r="855" ht="15.75" customHeight="1" s="143"/>
    <row r="856" ht="15.75" customHeight="1" s="143"/>
    <row r="857" ht="15.75" customHeight="1" s="143"/>
    <row r="858" ht="15.75" customHeight="1" s="143"/>
    <row r="859" ht="15.75" customHeight="1" s="143"/>
    <row r="860" ht="15.75" customHeight="1" s="143"/>
    <row r="861" ht="15.75" customHeight="1" s="143"/>
    <row r="862" ht="15.75" customHeight="1" s="143"/>
    <row r="863" ht="15.75" customHeight="1" s="143"/>
    <row r="864" ht="15.75" customHeight="1" s="143"/>
    <row r="865" ht="15.75" customHeight="1" s="143"/>
    <row r="866" ht="15.75" customHeight="1" s="143"/>
    <row r="867" ht="15.75" customHeight="1" s="143"/>
    <row r="868" ht="15.75" customHeight="1" s="143"/>
    <row r="869" ht="15.75" customHeight="1" s="143"/>
    <row r="870" ht="15.75" customHeight="1" s="143"/>
    <row r="871" ht="15.75" customHeight="1" s="143"/>
    <row r="872" ht="15.75" customHeight="1" s="143"/>
    <row r="873" ht="15.75" customHeight="1" s="143"/>
    <row r="874" ht="15.75" customHeight="1" s="143"/>
    <row r="875" ht="15.75" customHeight="1" s="143"/>
    <row r="876" ht="15.75" customHeight="1" s="143"/>
    <row r="877" ht="15.75" customHeight="1" s="143"/>
    <row r="878" ht="15.75" customHeight="1" s="143"/>
    <row r="879" ht="15.75" customHeight="1" s="143"/>
    <row r="880" ht="15.75" customHeight="1" s="143"/>
    <row r="881" ht="15.75" customHeight="1" s="143"/>
    <row r="882" ht="15.75" customHeight="1" s="143"/>
    <row r="883" ht="15.75" customHeight="1" s="143"/>
    <row r="884" ht="15.75" customHeight="1" s="143"/>
    <row r="885" ht="15.75" customHeight="1" s="143"/>
    <row r="886" ht="15.75" customHeight="1" s="143"/>
    <row r="887" ht="15.75" customHeight="1" s="143"/>
    <row r="888" ht="15.75" customHeight="1" s="143"/>
    <row r="889" ht="15.75" customHeight="1" s="143"/>
    <row r="890" ht="15.75" customHeight="1" s="143"/>
    <row r="891" ht="15.75" customHeight="1" s="143"/>
    <row r="892" ht="15.75" customHeight="1" s="143"/>
    <row r="893" ht="15.75" customHeight="1" s="143"/>
    <row r="894" ht="15.75" customHeight="1" s="143"/>
    <row r="895" ht="15.75" customHeight="1" s="143"/>
    <row r="896" ht="15.75" customHeight="1" s="143"/>
    <row r="897" ht="15.75" customHeight="1" s="143"/>
    <row r="898" ht="15.75" customHeight="1" s="143"/>
    <row r="899" ht="15.75" customHeight="1" s="143"/>
    <row r="900" ht="15.75" customHeight="1" s="143"/>
    <row r="901" ht="15.75" customHeight="1" s="143"/>
    <row r="902" ht="15.75" customHeight="1" s="143"/>
    <row r="903" ht="15.75" customHeight="1" s="143"/>
    <row r="904" ht="15.75" customHeight="1" s="143"/>
    <row r="905" ht="15.75" customHeight="1" s="143"/>
    <row r="906" ht="15.75" customHeight="1" s="143"/>
    <row r="907" ht="15.75" customHeight="1" s="143"/>
    <row r="908" ht="15.75" customHeight="1" s="143"/>
    <row r="909" ht="15.75" customHeight="1" s="143"/>
    <row r="910" ht="15.75" customHeight="1" s="143"/>
    <row r="911" ht="15.75" customHeight="1" s="143"/>
    <row r="912" ht="15.75" customHeight="1" s="143"/>
    <row r="913" ht="15.75" customHeight="1" s="143"/>
    <row r="914" ht="15.75" customHeight="1" s="143"/>
    <row r="915" ht="15.75" customHeight="1" s="143"/>
    <row r="916" ht="15.75" customHeight="1" s="143"/>
    <row r="917" ht="15.75" customHeight="1" s="143"/>
    <row r="918" ht="15.75" customHeight="1" s="143"/>
    <row r="919" ht="15.75" customHeight="1" s="143"/>
    <row r="920" ht="15.75" customHeight="1" s="143"/>
    <row r="921" ht="15.75" customHeight="1" s="143"/>
    <row r="922" ht="15.75" customHeight="1" s="143"/>
    <row r="923" ht="15.75" customHeight="1" s="143"/>
    <row r="924" ht="15.75" customHeight="1" s="143"/>
    <row r="925" ht="15.75" customHeight="1" s="143"/>
    <row r="926" ht="15.75" customHeight="1" s="143"/>
    <row r="927" ht="15.75" customHeight="1" s="143"/>
    <row r="928" ht="15.75" customHeight="1" s="143"/>
    <row r="929" ht="15.75" customHeight="1" s="143"/>
    <row r="930" ht="15.75" customHeight="1" s="143"/>
    <row r="931" ht="15.75" customHeight="1" s="143"/>
    <row r="932" ht="15.75" customHeight="1" s="143"/>
    <row r="933" ht="15.75" customHeight="1" s="143"/>
    <row r="934" ht="15.75" customHeight="1" s="143"/>
    <row r="935" ht="15.75" customHeight="1" s="143"/>
    <row r="936" ht="15.75" customHeight="1" s="143"/>
    <row r="937" ht="15.75" customHeight="1" s="143"/>
    <row r="938" ht="15.75" customHeight="1" s="143"/>
    <row r="939" ht="15.75" customHeight="1" s="143"/>
    <row r="940" ht="15.75" customHeight="1" s="143"/>
    <row r="941" ht="15.75" customHeight="1" s="143"/>
    <row r="942" ht="15.75" customHeight="1" s="143"/>
    <row r="943" ht="15.75" customHeight="1" s="143"/>
    <row r="944" ht="15.75" customHeight="1" s="143"/>
    <row r="945" ht="15.75" customHeight="1" s="143"/>
    <row r="946" ht="15.75" customHeight="1" s="143"/>
    <row r="947" ht="15.75" customHeight="1" s="143"/>
    <row r="948" ht="15.75" customHeight="1" s="143"/>
    <row r="949" ht="15.75" customHeight="1" s="143"/>
    <row r="950" ht="15.75" customHeight="1" s="143"/>
    <row r="951" ht="15.75" customHeight="1" s="143"/>
    <row r="952" ht="15.75" customHeight="1" s="143"/>
    <row r="953" ht="15.75" customHeight="1" s="143"/>
    <row r="954" ht="15.75" customHeight="1" s="143"/>
    <row r="955" ht="15.75" customHeight="1" s="143"/>
    <row r="956" ht="15.75" customHeight="1" s="143"/>
    <row r="957" ht="15.75" customHeight="1" s="143"/>
    <row r="958" ht="15.75" customHeight="1" s="143"/>
    <row r="959" ht="15.75" customHeight="1" s="143"/>
    <row r="960" ht="15.75" customHeight="1" s="143"/>
    <row r="961" ht="15.75" customHeight="1" s="143"/>
    <row r="962" ht="15.75" customHeight="1" s="143"/>
    <row r="963" ht="15.75" customHeight="1" s="143"/>
    <row r="964" ht="15.75" customHeight="1" s="143"/>
    <row r="965" ht="15.75" customHeight="1" s="143"/>
    <row r="966" ht="15.75" customHeight="1" s="143"/>
    <row r="967" ht="15.75" customHeight="1" s="143"/>
    <row r="968" ht="15.75" customHeight="1" s="143"/>
    <row r="969" ht="15.75" customHeight="1" s="143"/>
    <row r="970" ht="15.75" customHeight="1" s="143"/>
    <row r="971" ht="15.75" customHeight="1" s="143"/>
    <row r="972" ht="15.75" customHeight="1" s="143"/>
    <row r="973" ht="15.75" customHeight="1" s="143"/>
    <row r="974" ht="15.75" customHeight="1" s="143"/>
    <row r="975" ht="15.75" customHeight="1" s="143"/>
    <row r="976" ht="15.75" customHeight="1" s="143"/>
    <row r="977" ht="15.75" customHeight="1" s="143"/>
    <row r="978" ht="15.75" customHeight="1" s="143"/>
    <row r="979" ht="15.75" customHeight="1" s="143"/>
    <row r="980" ht="15.75" customHeight="1" s="143"/>
    <row r="981" ht="15.75" customHeight="1" s="143"/>
    <row r="982" ht="15.75" customHeight="1" s="143"/>
    <row r="983" ht="15.75" customHeight="1" s="143"/>
    <row r="984" ht="15.75" customHeight="1" s="143"/>
    <row r="985" ht="15.75" customHeight="1" s="143"/>
    <row r="986" ht="15.75" customHeight="1" s="143"/>
    <row r="987" ht="15.75" customHeight="1" s="143"/>
    <row r="988" ht="15.75" customHeight="1" s="143"/>
    <row r="989" ht="15.75" customHeight="1" s="143"/>
    <row r="990" ht="15.75" customHeight="1" s="143"/>
    <row r="991" ht="15.75" customHeight="1" s="143"/>
    <row r="992" ht="15.75" customHeight="1" s="143"/>
    <row r="993" ht="15.75" customHeight="1" s="143"/>
    <row r="994" ht="15.75" customHeight="1" s="143"/>
    <row r="995" ht="15.75" customHeight="1" s="143"/>
    <row r="996" ht="15.75" customHeight="1" s="143"/>
    <row r="997" ht="15.75" customHeight="1" s="143"/>
    <row r="998" ht="15.75" customHeight="1" s="143"/>
    <row r="999" ht="15.75" customHeight="1" s="143"/>
    <row r="1000" ht="15.75" customHeight="1" s="143"/>
  </sheetData>
  <mergeCells count="5">
    <mergeCell ref="A16:B21"/>
    <mergeCell ref="A15:B15"/>
    <mergeCell ref="A23:E25"/>
    <mergeCell ref="A1:F1"/>
    <mergeCell ref="A22:E22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17" customWidth="1" style="143" min="1" max="1"/>
    <col width="29" customWidth="1" style="143" min="2" max="2"/>
    <col width="38" customWidth="1" style="143" min="3" max="3"/>
    <col width="76" customWidth="1" style="143" min="4" max="4"/>
    <col width="65" customWidth="1" style="143" min="5" max="5"/>
    <col width="32" customWidth="1" style="143" min="6" max="6"/>
  </cols>
  <sheetData>
    <row r="1" ht="34" customHeight="1" s="143">
      <c r="A1" s="199" t="inlineStr">
        <is>
          <t>CITAJUSTA  |  ACTUALIZACIÓN SCRUM · 15-10-2026</t>
        </is>
      </c>
      <c r="B1" s="46" t="n"/>
      <c r="C1" s="46" t="n"/>
      <c r="D1" s="46" t="n"/>
      <c r="E1" s="46" t="n"/>
      <c r="F1" s="46" t="n"/>
    </row>
    <row r="2" ht="34" customHeight="1" s="143">
      <c r="A2" s="200" t="inlineStr">
        <is>
          <t>ANEXO HISTÓRICO al 15-10 (no actualizado retroactivamente). Ver hoja Corte GitHub 16-10 para estados formales posteriores.</t>
        </is>
      </c>
      <c r="B2" s="46" t="n"/>
      <c r="C2" s="46" t="n"/>
      <c r="D2" s="46" t="n"/>
      <c r="E2" s="46" t="n"/>
      <c r="F2" s="46" t="n"/>
    </row>
    <row r="3" ht="14" customHeight="1" s="143"/>
    <row r="4" ht="30" customHeight="1" s="143">
      <c r="A4" s="182" t="inlineStr">
        <is>
          <t>Referencia</t>
        </is>
      </c>
      <c r="B4" s="182" t="inlineStr">
        <is>
          <t>Trabajo</t>
        </is>
      </c>
      <c r="C4" s="182" t="inlineStr">
        <is>
          <t>Situación técnica al corte</t>
        </is>
      </c>
      <c r="D4" s="182" t="inlineStr">
        <is>
          <t>Evidencia / alcance</t>
        </is>
      </c>
      <c r="E4" s="182" t="inlineStr">
        <is>
          <t>Verificación pendiente</t>
        </is>
      </c>
      <c r="F4" s="182" t="inlineStr">
        <is>
          <t>Vinculación</t>
        </is>
      </c>
    </row>
    <row r="5" ht="85" customHeight="1" s="143">
      <c r="A5" s="131" t="inlineStr">
        <is>
          <t>HU-039</t>
        </is>
      </c>
      <c r="B5" s="131" t="inlineStr">
        <is>
          <t>Resend</t>
        </is>
      </c>
      <c r="C5" s="131" t="inlineStr">
        <is>
          <t>Implementada; correo recibido de extremo a extremo en Gmail</t>
        </is>
      </c>
      <c r="D5" s="131" t="inlineStr">
        <is>
          <t>Reserva Web -&gt; outbox -&gt; Resend -&gt; Gmail comprobada el 15-10; primera versión HTML recibida. V2 con logo CID: 611/611 API PASS según informe Codex, pendiente validación manual en Gmail y cierre Git de la mejora.</t>
        </is>
      </c>
      <c r="E5" s="131" t="inlineStr">
        <is>
          <t>Estado formal de la Issue y del PR de la mejora: verificar en GitHub.</t>
        </is>
      </c>
      <c r="F5" s="131" t="inlineStr">
        <is>
          <t>Sprint 8 planificado</t>
        </is>
      </c>
    </row>
    <row r="6" ht="85" customHeight="1" s="143">
      <c r="A6" s="183" t="inlineStr">
        <is>
          <t>HU-040</t>
        </is>
      </c>
      <c r="B6" s="183" t="inlineStr">
        <is>
          <t>Google OAuth / OIDC</t>
        </is>
      </c>
      <c r="C6" s="183" t="inlineStr">
        <is>
          <t>Implementación y prueba manual previamente registradas</t>
        </is>
      </c>
      <c r="D6" s="183" t="inlineStr">
        <is>
          <t>Login/vinculación adicional con Google, sin reemplazar cuentas locales, RBAC ni contexto institucional. Referencia a README/decisiones técnicas.</t>
        </is>
      </c>
      <c r="E6" s="183" t="inlineStr">
        <is>
          <t>Cierre formal en GitHub: no verificado en esta actualización.</t>
        </is>
      </c>
      <c r="F6" s="183" t="inlineStr">
        <is>
          <t>Sprint 8 planificado</t>
        </is>
      </c>
    </row>
    <row r="7" ht="85" customHeight="1" s="143">
      <c r="A7" s="131" t="inlineStr">
        <is>
          <t>HU-041</t>
        </is>
      </c>
      <c r="B7" s="131" t="inlineStr">
        <is>
          <t>Google Calendar</t>
        </is>
      </c>
      <c r="C7" s="131" t="inlineStr">
        <is>
          <t>Implementada y validada automática y manualmente el 06-10</t>
        </is>
      </c>
      <c r="D7" s="131" t="inlineStr">
        <is>
          <t>Copia explícita de una cita AGENDADA propia al calendario autorizado; CitaJusta/PostgreSQL sigue siendo fuente de verdad.</t>
        </is>
      </c>
      <c r="E7" s="131" t="inlineStr">
        <is>
          <t>Cierre formal en GitHub: no verificado en esta actualización.</t>
        </is>
      </c>
      <c r="F7" s="131" t="inlineStr">
        <is>
          <t>Sprint 8 planificado</t>
        </is>
      </c>
    </row>
    <row r="8" ht="85" customHeight="1" s="143">
      <c r="A8" s="183" t="inlineStr">
        <is>
          <t>HU-042</t>
        </is>
      </c>
      <c r="B8" s="183" t="inlineStr">
        <is>
          <t>OpenStreetMap y enlaces de Google Maps</t>
        </is>
      </c>
      <c r="C8" s="183" t="inlineStr">
        <is>
          <t>Implementación local disponible; revisión final por confirmar</t>
        </is>
      </c>
      <c r="D8" s="183" t="inlineStr">
        <is>
          <t>Mapa integrado con iframe OSM y enlaces de Google Maps; no se consume Google Maps Platform API ni hay clave/facturación de Maps.</t>
        </is>
      </c>
      <c r="E8" s="183" t="inlineStr">
        <is>
          <t>Comprobar validación humana y cierre formal en GitHub.</t>
        </is>
      </c>
      <c r="F8" s="183" t="inlineStr">
        <is>
          <t>Sprint 8 planificado</t>
        </is>
      </c>
    </row>
    <row r="9" ht="85" customHeight="1" s="143">
      <c r="A9" s="131" t="inlineStr">
        <is>
          <t>HU-043</t>
        </is>
      </c>
      <c r="B9" s="131" t="inlineStr">
        <is>
          <t>WhatsApp Cloud API</t>
        </is>
      </c>
      <c r="C9" s="131" t="inlineStr">
        <is>
          <t>DESCARTADA / FUERA DEL ALCANCE</t>
        </is>
      </c>
      <c r="D9" s="131" t="inlineStr">
        <is>
          <t>Retirada del código y alcance vigente el 15-10 por restricciones empresariales de Meta; PR de documentación mergeado a main (1f1b7c1). Se conserva NotificationChannel.WHATSAPP preexistente sin integración activa.</t>
        </is>
      </c>
      <c r="E9" s="131" t="inlineStr">
        <is>
          <t>NO marcar Done. Confirmar cierre formal de Issue #165 como Not planned y actualizar Kanban. Migración local experimental pendiente de reconciliación.</t>
        </is>
      </c>
      <c r="F9" s="131" t="inlineStr">
        <is>
          <t>Sprint 8 originalmente planificado</t>
        </is>
      </c>
    </row>
    <row r="10" ht="85" customHeight="1" s="143">
      <c r="A10" s="183" t="inlineStr">
        <is>
          <t>Mejora HU-039</t>
        </is>
      </c>
      <c r="B10" s="183" t="inlineStr">
        <is>
          <t>Plantilla de correo HTML V2</t>
        </is>
      </c>
      <c r="C10" s="183" t="inlineStr">
        <is>
          <t>Implementada en rama de trabajo; prueba manual final pendiente</t>
        </is>
      </c>
      <c r="D10" s="183" t="inlineStr">
        <is>
          <t>Diseño CitaJusta y logo CID; regresión 611/611 PASS; pruebas E2E no ejecutadas sobre base dev con migración experimental.</t>
        </is>
      </c>
      <c r="E10" s="183" t="inlineStr">
        <is>
          <t>No crear HU nueva sin refinamiento; pendiente de commit/PR/merge y prueba real Gmail.</t>
        </is>
      </c>
      <c r="F10" s="183" t="inlineStr">
        <is>
          <t>Tarea técnica asociada a HU-039</t>
        </is>
      </c>
    </row>
    <row r="11" ht="85" customHeight="1" s="143">
      <c r="A11" s="131" t="inlineStr">
        <is>
          <t>Posible API nueva</t>
        </is>
      </c>
      <c r="B11" s="131" t="inlineStr">
        <is>
          <t>Nager.Date (feriados Chile)</t>
        </is>
      </c>
      <c r="C11" s="131" t="inlineStr">
        <is>
          <t>IDEA / NO IMPLEMENTADA</t>
        </is>
      </c>
      <c r="D11" s="131" t="inlineStr">
        <is>
          <t>Posible sustituto funcional externo después de retirar WhatsApp; no se crea ni se marca HU hasta que el equipo refine y apruebe el alcance.</t>
        </is>
      </c>
      <c r="E11" s="131" t="inlineStr">
        <is>
          <t>Confirmar con el profesor y Product Owner antes de añadir al backlog vigente.</t>
        </is>
      </c>
      <c r="F11" s="131" t="inlineStr">
        <is>
          <t>Backlog futuro condicionado</t>
        </is>
      </c>
    </row>
    <row r="13" ht="43" customHeight="1" s="143">
      <c r="A13" s="184" t="inlineStr">
        <is>
          <t>Nota de integridad</t>
        </is>
      </c>
      <c r="B13" s="201" t="inlineStr">
        <is>
          <t>Los 38 Done del corte 04-10 se conservan como fotografía histórica. El anexo no altera estados previos; comprobar Issues y Kanban antes de recalcular estados oficialmente.</t>
        </is>
      </c>
      <c r="C13" s="46" t="n"/>
      <c r="D13" s="46" t="n"/>
      <c r="E13" s="46" t="n"/>
      <c r="F13" s="46" t="n"/>
    </row>
  </sheetData>
  <mergeCells count="3">
    <mergeCell ref="A2:F2"/>
    <mergeCell ref="A1:F1"/>
    <mergeCell ref="B13:F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43" min="1" max="1"/>
    <col width="36" customWidth="1" style="143" min="2" max="2"/>
    <col width="56" customWidth="1" style="143" min="3" max="3"/>
    <col width="52" customWidth="1" style="143" min="4" max="4"/>
    <col width="56" customWidth="1" style="143" min="5" max="5"/>
  </cols>
  <sheetData>
    <row r="1" ht="30" customHeight="1" s="143">
      <c r="A1" s="202" t="inlineStr">
        <is>
          <t>Referencia</t>
        </is>
      </c>
      <c r="B1" s="202" t="inlineStr">
        <is>
          <t>Issue</t>
        </is>
      </c>
      <c r="C1" s="202" t="inlineStr">
        <is>
          <t>PR</t>
        </is>
      </c>
      <c r="D1" s="202" t="inlineStr">
        <is>
          <t>Estado verificado</t>
        </is>
      </c>
      <c r="E1" s="202" t="inlineStr">
        <is>
          <t>Observaciones</t>
        </is>
      </c>
    </row>
    <row r="2" ht="42" customHeight="1" s="143">
      <c r="A2" s="203" t="inlineStr">
        <is>
          <t>HU-039</t>
        </is>
      </c>
      <c r="B2" s="203" t="inlineStr">
        <is>
          <t>#152</t>
        </is>
      </c>
      <c r="C2" s="203" t="inlineStr">
        <is>
          <t>#153</t>
        </is>
      </c>
      <c r="D2" s="203" t="inlineStr">
        <is>
          <t>CLOSED COMPLETED / MERGED</t>
        </is>
      </c>
      <c r="E2" s="203" t="inlineStr">
        <is>
          <t>Resend funcional; V2 local pendiente de commit/PR y verificación visual en Gmail</t>
        </is>
      </c>
    </row>
    <row r="3" ht="42" customHeight="1" s="143">
      <c r="A3" s="131" t="inlineStr">
        <is>
          <t>HU-040</t>
        </is>
      </c>
      <c r="B3" s="131" t="inlineStr">
        <is>
          <t>#155</t>
        </is>
      </c>
      <c r="C3" s="131" t="inlineStr">
        <is>
          <t>#156</t>
        </is>
      </c>
      <c r="D3" s="131" t="inlineStr">
        <is>
          <t>CLOSED COMPLETED / MERGED</t>
        </is>
      </c>
      <c r="E3" s="131" t="inlineStr">
        <is>
          <t>Google OAuth/OIDC</t>
        </is>
      </c>
    </row>
    <row r="4" ht="42" customHeight="1" s="143">
      <c r="A4" s="203" t="inlineStr">
        <is>
          <t>HU-041</t>
        </is>
      </c>
      <c r="B4" s="203" t="inlineStr">
        <is>
          <t>#158</t>
        </is>
      </c>
      <c r="C4" s="203" t="inlineStr">
        <is>
          <t>#159</t>
        </is>
      </c>
      <c r="D4" s="203" t="inlineStr">
        <is>
          <t>CLOSED COMPLETED / MERGED</t>
        </is>
      </c>
      <c r="E4" s="203" t="inlineStr">
        <is>
          <t>Google Calendar con autorización explícita</t>
        </is>
      </c>
    </row>
    <row r="5" ht="42" customHeight="1" s="143">
      <c r="A5" s="131" t="inlineStr">
        <is>
          <t>HU-042</t>
        </is>
      </c>
      <c r="B5" s="131" t="inlineStr">
        <is>
          <t>#162</t>
        </is>
      </c>
      <c r="C5" s="131" t="inlineStr">
        <is>
          <t>#163</t>
        </is>
      </c>
      <c r="D5" s="131" t="inlineStr">
        <is>
          <t>CLOSED COMPLETED / MERGED</t>
        </is>
      </c>
      <c r="E5" s="131" t="inlineStr">
        <is>
          <t>OpenStreetMap iframe + URLs Google Maps; no Google Maps Platform API</t>
        </is>
      </c>
    </row>
    <row r="6" ht="42" customHeight="1" s="143">
      <c r="A6" s="203" t="inlineStr">
        <is>
          <t>HU-043</t>
        </is>
      </c>
      <c r="B6" s="203" t="inlineStr">
        <is>
          <t>#165</t>
        </is>
      </c>
      <c r="C6" s="203" t="inlineStr">
        <is>
          <t>#169</t>
        </is>
      </c>
      <c r="D6" s="203" t="inlineStr">
        <is>
          <t>CLOSED COMPLETED / MERGED solo retiro documental</t>
        </is>
      </c>
      <c r="E6" s="203" t="inlineStr">
        <is>
          <t>EXCLUIDA del alcance; corregir estado semántico de cierre a Not planned cuando se autorice</t>
        </is>
      </c>
    </row>
    <row r="7" ht="42" customHeight="1" s="143">
      <c r="A7" s="131" t="inlineStr">
        <is>
          <t>Resend V2</t>
        </is>
      </c>
      <c r="B7" s="131" t="inlineStr">
        <is>
          <t>—</t>
        </is>
      </c>
      <c r="C7" s="131" t="inlineStr">
        <is>
          <t>—</t>
        </is>
      </c>
      <c r="D7" s="131" t="inlineStr">
        <is>
          <t>Sin commit / PR / merge confirmado</t>
        </is>
      </c>
      <c r="E7" s="131" t="inlineStr">
        <is>
          <t>611/611 API PASS reportados; validación visual Gmail V2 pendiente</t>
        </is>
      </c>
    </row>
    <row r="8" ht="42" customHeight="1" s="143">
      <c r="A8" s="203" t="inlineStr">
        <is>
          <t>Daily Scrum</t>
        </is>
      </c>
      <c r="B8" s="203" t="inlineStr">
        <is>
          <t>#166 #167 #168 #170</t>
        </is>
      </c>
      <c r="C8" s="203" t="inlineStr">
        <is>
          <t>—</t>
        </is>
      </c>
      <c r="D8" s="203" t="inlineStr">
        <is>
          <t>OPEN, automáticos</t>
        </is>
      </c>
      <c r="E8" s="203" t="inlineStr">
        <is>
          <t>Fuera del Kanban principal; no requieren cierre para esta entrega</t>
        </is>
      </c>
    </row>
    <row r="9" ht="42" customHeight="1" s="143">
      <c r="A9" s="131" t="inlineStr">
        <is>
          <t>Avance</t>
        </is>
      </c>
      <c r="B9" s="131" t="inlineStr">
        <is>
          <t>—</t>
        </is>
      </c>
      <c r="C9" s="131" t="inlineStr">
        <is>
          <t>—</t>
        </is>
      </c>
      <c r="D9" s="131" t="inlineStr">
        <is>
          <t>70% general / 80% técnico ESTIMADOS</t>
        </is>
      </c>
      <c r="E9" s="131" t="inlineStr">
        <is>
          <t>No confundir porcentaje de historia Done con porcentaje general del Capstone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2026-10-16T21:18:18Z</dcterms:created>
  <dcterms:modified xmlns:dcterms="http://purl.org/dc/terms/" xmlns:xsi="http://www.w3.org/2001/XMLSchema-instance" xsi:type="dcterms:W3CDTF">2026-10-16T21:18:18Z</dcterms:modified>
</cp:coreProperties>
</file>