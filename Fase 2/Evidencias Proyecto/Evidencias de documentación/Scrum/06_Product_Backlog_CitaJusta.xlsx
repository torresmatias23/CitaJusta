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e9586cd1c4f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50655d6ff9bf4701"/>
    <x:sheet xmlns:r="http://schemas.openxmlformats.org/officeDocument/2006/relationships" name="Resumen" sheetId="2" r:id="R221b4cf1e3274e74"/>
  </x:sheets>
</x:workbook>
</file>

<file path=xl/sharedStrings.xml><?xml version="1.0" encoding="utf-8"?>
<x:sst xmlns:x="http://schemas.openxmlformats.org/spreadsheetml/2006/main">
  <x:si>
    <x:t xml:space="preserve">CITAJUSTA  PRODUCT BACKLOG PRIORIZADO</x:t>
  </x:si>
  <x:si>
    <x:t xml:space="preserve">ID</x:t>
  </x:si>
  <x:si>
    <x:t xml:space="preserve">Épica</x:t>
  </x:si>
  <x:si>
    <x:t xml:space="preserve">Historia de Usuario</x:t>
  </x:si>
  <x:si>
    <x:t xml:space="preserve">Alias</x:t>
  </x:si>
  <x:si>
    <x:t xml:space="preserve">Estado</x:t>
  </x:si>
  <x:si>
    <x:t xml:space="preserve">Story Points</x:t>
  </x:si>
  <x:si>
    <x:t xml:space="preserve">Sprint</x:t>
  </x:si>
  <x:si>
    <x:t xml:space="preserve">Prioridad</x:t>
  </x:si>
  <x:si>
    <x:t xml:space="preserve">RF</x:t>
  </x:si>
  <x:si>
    <x:t xml:space="preserve">Alcance</x:t>
  </x:si>
  <x:si>
    <x:t xml:space="preserve">Criterios de aceptación (resumen)</x:t>
  </x:si>
  <x:si>
    <x:t xml:space="preserve">Evidencia / rama</x:t>
  </x:si>
  <x:si>
    <x:t xml:space="preserve">Issue GitHub</x:t>
  </x:si>
  <x:si>
    <x:t xml:space="preserve">Comentarios</x:t>
  </x:si>
  <x:si>
    <x:t xml:space="preserve">HU-001</x:t>
  </x:si>
  <x:si>
    <x:t xml:space="preserve">Cuenta y acceso</x:t>
  </x:si>
  <x:si>
    <x:t xml:space="preserve">Como usuario final, quiero crear una cuenta, para utilizar CitaJusta y administrar mis citas.</x:t>
  </x:si>
  <x:si>
    <x:t xml:space="preserve">Registro de usuario</x:t>
  </x:si>
  <x:si>
    <x:t xml:space="preserve">Done</x:t>
  </x:si>
  <x:si>
    <x:t xml:space="preserve">Sprint 3</x:t>
  </x:si>
  <x:si>
    <x:t xml:space="preserve">Alta</x:t>
  </x:si>
  <x:si>
    <x:t xml:space="preserve">RF-001</x:t>
  </x:si>
  <x:si>
    <x:t xml:space="preserve">MVP</x:t>
  </x:si>
  <x:si>
    <x:t xml:space="preserve">El sistema valida campos obligatorios y formatos. • No permite registrar un correo ya utilizado. • La contraseña cumple la política definida y nunca se almacena en texto plano.</x:t>
  </x:si>
  <x:si>
    <x:t xml:space="preserve">feat/auth-foundation</x:t>
  </x:si>
  <x:si>
    <x:t xml:space="preserve">Pendiente de vincular</x:t>
  </x:si>
  <x:si>
    <x:t xml:space="preserve">Registro implementado y probado en Auth.</x:t>
  </x:si>
  <x:si>
    <x:t xml:space="preserve">HU-002</x:t>
  </x:si>
  <x:si>
    <x:t xml:space="preserve">Como usuario, quiero iniciar sesión de forma segura, para acceder únicamente a las funciones que me corresponden.</x:t>
  </x:si>
  <x:si>
    <x:t xml:space="preserve">Inicio de sesión</x:t>
  </x:si>
  <x:si>
    <x:t xml:space="preserve">Crítica</x:t>
  </x:si>
  <x:si>
    <x:t xml:space="preserve">RF-002</x:t>
  </x:si>
  <x:si>
    <x:t xml:space="preserve">Credenciales válidas permiten acceder. • Credenciales inválidas no revelan si el correo existe. • El backend valida autenticación y rol para recursos protegidos.</x:t>
  </x:si>
  <x:si>
    <x:t xml:space="preserve">feat/auth-foundation / feat/rbac-institution-context</x:t>
  </x:si>
  <x:si>
    <x:t xml:space="preserve">Login, refresh rotativo y logout implementados y probados.</x:t>
  </x:si>
  <x:si>
    <x:t xml:space="preserve">HU-003</x:t>
  </x:si>
  <x:si>
    <x:t xml:space="preserve">Citas</x:t>
  </x:si>
  <x:si>
    <x:t xml:space="preserve">Como usuario, quiero buscar citas por servicio, sede y fecha o preferencia, para encontrar una atención compatible con mis necesidades.</x:t>
  </x:si>
  <x:si>
    <x:t xml:space="preserve">Buscar citas</x:t>
  </x:si>
  <x:si>
    <x:t xml:space="preserve">Sprint 4</x:t>
  </x:si>
  <x:si>
    <x:t xml:space="preserve">RF-011 / RF-012</x:t>
  </x:si>
  <x:si>
    <x:t xml:space="preserve">La búsqueda exige al menos un servicio. • Los resultados respetan filtros válidos de sede y fecha/preferencia. • No se muestran cupos bloqueados, ocupados o fuera de disponibilidad.</x:t>
  </x:si>
  <x:si>
    <x:t xml:space="preserve">feat/catalog-read-foundation / feat/availability-read-foundation / feat/web-api-integration · PR #43</x:t>
  </x:si>
  <x:si>
    <x:t xml:space="preserve">S5-T05 · PR #43</x:t>
  </x:si>
  <x:si>
    <x:t xml:space="preserve">Búsqueda funcional completada de punta a punta: institución/sede/servicio, consulta de disponibilidad y resultados reales en Web. Cierre funcional realizado en Sprint 5 sobre la base backend iniciada en Sprint 4; validación Web/API/PostgreSQL E2E 13/13 y revisión manual.</x:t>
  </x:si>
  <x:si>
    <x:t xml:space="preserve">HU-004</x:t>
  </x:si>
  <x:si>
    <x:t xml:space="preserve">Como usuario, quiero reservar un cupo disponible, para asegurar una atención en el horario seleccionado.</x:t>
  </x:si>
  <x:si>
    <x:t xml:space="preserve">Reservar una cita</x:t>
  </x:si>
  <x:si>
    <x:t xml:space="preserve">Sprint 5</x:t>
  </x:si>
  <x:si>
    <x:t xml:space="preserve">RF-013</x:t>
  </x:si>
  <x:si>
    <x:t xml:space="preserve"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x:t>
  </x:si>
  <x:si>
    <x:t xml:space="preserve">feat/appointments-booking-foundation · commit 7a6a80e · merge a main 9b3e5a7</x:t>
  </x:si>
  <x:si>
    <x:t xml:space="preserve">PR HU-004 fusionado</x:t>
  </x:si>
  <x:si>
    <x:t xml:space="preserve"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x:t>
  </x:si>
  <x:si>
    <x:t xml:space="preserve">HU-005</x:t>
  </x:si>
  <x:si>
    <x:t xml:space="preserve">Como usuario, quiero visualizar mis citas y su estado, para saber cuándo debo asistir y qué acciones tengo disponibles.</x:t>
  </x:si>
  <x:si>
    <x:t xml:space="preserve">Consultar mis citas</x:t>
  </x:si>
  <x:si>
    <x:t xml:space="preserve">RF-014</x:t>
  </x:si>
  <x:si>
    <x:t xml:space="preserve">El usuario sólo ve sus propias citas. • Se muestran fecha, hora, servicio, sede, profesional y estado aplicable. • Las acciones disponibles dependen del estado y permisos.</x:t>
  </x:si>
  <x:si>
    <x:t xml:space="preserve">commit 89d15a8 · GET /api/v1/appointments/me</x:t>
  </x:si>
  <x:si>
    <x:t xml:space="preserve">HU-005 creada en GitHub Projects</x:t>
  </x:si>
  <x:si>
    <x:t xml:space="preserve">Consulta autenticada de citas propias implementada. Aislamiento por AuthenticatedPrincipal, DTO público controlado, orden startsAt ASC/id ASC. Validación al cierre de HU-005: 96/96 unitarios, appointments E2E 14/14 y checkpoint 1/1.</x:t>
  </x:si>
  <x:si>
    <x:t xml:space="preserve">HU-006</x:t>
  </x:si>
  <x:si>
    <x:t xml:space="preserve">Como usuario, quiero cancelar una cita que no podré utilizar, para liberar el cupo y mantener mi agenda actualizada.</x:t>
  </x:si>
  <x:si>
    <x:t xml:space="preserve">Cancelar una cita</x:t>
  </x:si>
  <x:si>
    <x:t xml:space="preserve">RF-015</x:t>
  </x:si>
  <x:si>
    <x:t xml:space="preserve">Sólo el titular o un rol autorizado puede cancelar. • La cancelación cambia el estado de la cita y queda auditada. • Si el cupo es reutilizable, queda disponible para el proceso de reasignación.</x:t>
  </x:si>
  <x:si>
    <x:t xml:space="preserve">feat/appointments-cancellation · commit 9c62153 · PR #37</x:t>
  </x:si>
  <x:si>
    <x:t xml:space="preserve">CitaJusta #32 · PR #37</x:t>
  </x:si>
  <x:si>
    <x:t xml:space="preserve"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x:t>
  </x:si>
  <x:si>
    <x:t xml:space="preserve">HU-007</x:t>
  </x:si>
  <x:si>
    <x:t xml:space="preserve">Lista de espera</x:t>
  </x:si>
  <x:si>
    <x:t xml:space="preserve">Como usuario, quiero ingresar a una lista de espera cuando no haya disponibilidad adecuada, para tener la posibilidad de recibir un cupo que se libere.</x:t>
  </x:si>
  <x:si>
    <x:t xml:space="preserve">Ingresar a lista de espera</x:t>
  </x:si>
  <x:si>
    <x:t xml:space="preserve">RF-018 / RF-019</x:t>
  </x:si>
  <x:si>
    <x:t xml:space="preserve">Sólo se permite una espera activa equivalente cuando así lo defina la regla de negocio. • Se registran servicio, sede/preferencias y fecha de ingreso. • El usuario puede consultar el estado de la espera.</x:t>
  </x:si>
  <x:si>
    <x:t xml:space="preserve">feat/waitlist-entry</x:t>
  </x:si>
  <x:si>
    <x:t xml:space="preserve">HU-007 · Done</x:t>
  </x:si>
  <x:si>
    <x:t xml:space="preserve">Alta y consulta de lista de espera implementadas y validadas contra PostgreSQL real.</x:t>
  </x:si>
  <x:si>
    <x:t xml:space="preserve">HU-008</x:t>
  </x:si>
  <x:si>
    <x:t xml:space="preserve">Como usuario, quiero indicar y modificar mis días, horarios y sede preferidos, para recibir solamente ofertas que pueda utilizar.</x:t>
  </x:si>
  <x:si>
    <x:t xml:space="preserve">Gestionar preferencias de espera</x:t>
  </x:si>
  <x:si>
    <x:t xml:space="preserve">RF-019 / RF-021</x:t>
  </x:si>
  <x:si>
    <x:t xml:space="preserve">Las preferencias deben usar valores válidos. • Los cambios aplican a futuras evaluaciones de compatibilidad. • El usuario puede retirarse de una espera activa y el cambio queda persistido.</x:t>
  </x:si>
  <x:si>
    <x:t xml:space="preserve">feat/waitlist-preferences</x:t>
  </x:si>
  <x:si>
    <x:t xml:space="preserve">HU-008 · Done</x:t>
  </x:si>
  <x:si>
    <x:t xml:space="preserve">Preferencias y retiro implementados; E2E HU-007/HU-008 real 24/24 PASS.</x:t>
  </x:si>
  <x:si>
    <x:t xml:space="preserve">HU-009</x:t>
  </x:si>
  <x:si>
    <x:t xml:space="preserve">Ofertas</x:t>
  </x:si>
  <x:si>
    <x:t xml:space="preserve">Como usuario en lista de espera, quiero recibir una oferta cuando se libere un cupo compatible, para decidir si deseo tomarlo.</x:t>
  </x:si>
  <x:si>
    <x:t xml:space="preserve">Recibir oferta de cupo liberado</x:t>
  </x:si>
  <x:si>
    <x:t xml:space="preserve">Sprint 6</x:t>
  </x:si>
  <x:si>
    <x:t xml:space="preserve">RF-022 a RF-027 / RF-034</x:t>
  </x:si>
  <x:si>
    <x:t xml:space="preserve">La oferta sólo se genera para un candidato compatible. • La oferta posee fecha/hora de expiración persistida. • El usuario es notificado dentro de CitaJusta.</x:t>
  </x:si>
  <x:si>
    <x:t xml:space="preserve">feat/reassignment-offers</x:t>
  </x:si>
  <x:si>
    <x:t xml:space="preserve">HU-009 · Done</x:t>
  </x:si>
  <x:si>
    <x:t xml:space="preserve">Generación de oferta, ranking/snapshot y TTL implementados en backend.</x:t>
  </x:si>
  <x:si>
    <x:t xml:space="preserve">HU-010</x:t>
  </x:si>
  <x:si>
    <x:t xml:space="preserve">Como usuario, quiero aceptar una oferta vigente, para obtener el cupo liberado de manera segura.</x:t>
  </x:si>
  <x:si>
    <x:t xml:space="preserve">Aceptar una oferta</x:t>
  </x:si>
  <x:si>
    <x:t xml:space="preserve">RF-027</x:t>
  </x:si>
  <x:si>
    <x:t xml:space="preserve">Sólo el destinatario puede aceptar la oferta. • La oferta debe estar vigente y el cupo disponible. • La aceptación se ejecuta transaccionalmente.</x:t>
  </x:si>
  <x:si>
    <x:t xml:space="preserve">feat/accept-reassignment-offer</x:t>
  </x:si>
  <x:si>
    <x:t xml:space="preserve">HU-010 · Done</x:t>
  </x:si>
  <x:si>
    <x:t xml:space="preserve">Aceptación transaccional e idempotente implementada con transferencia segura de la cita.</x:t>
  </x:si>
  <x:si>
    <x:t xml:space="preserve">HU-011</x:t>
  </x:si>
  <x:si>
    <x:t xml:space="preserve">Como usuario, quiero rechazar una oferta que no puedo utilizar, para que el sistema pueda continuar con otro candidato.</x:t>
  </x:si>
  <x:si>
    <x:t xml:space="preserve">Rechazar una oferta</x:t>
  </x:si>
  <x:si>
    <x:t xml:space="preserve">RF-028</x:t>
  </x:si>
  <x:si>
    <x:t xml:space="preserve">Sólo el destinatario puede rechazar. • La oferta cambia a estado rechazado. • El cupo puede continuar con el siguiente candidato válido.</x:t>
  </x:si>
  <x:si>
    <x:t xml:space="preserve">feat/reject-reassignment-offer</x:t>
  </x:si>
  <x:si>
    <x:t xml:space="preserve">HU-011 · Done</x:t>
  </x:si>
  <x:si>
    <x:t xml:space="preserve">Rechazo y continuidad/exhaustión del flujo implementados.</x:t>
  </x:si>
  <x:si>
    <x:t xml:space="preserve">HU-012</x:t>
  </x:si>
  <x:si>
    <x:t xml:space="preserve">Administración</x:t>
  </x:si>
  <x:si>
    <x:t xml:space="preserve">Como administrador institucional, quiero administrar sedes y servicios, para configurar correctamente la oferta de atención de mi institución.</x:t>
  </x:si>
  <x:si>
    <x:t xml:space="preserve">Gestionar servicios y sedes</x:t>
  </x:si>
  <x:si>
    <x:t xml:space="preserve">RF-005 a RF-007</x:t>
  </x:si>
  <x:si>
    <x:t xml:space="preserve">Sólo roles autorizados pueden crear o modificar datos institucionales. • Una sede pertenece a una institución válida. • Un servicio puede activarse o desactivarse sin borrar su historial.</x:t>
  </x:si>
  <x:si>
    <x:t xml:space="preserve">feat/catalog-administration</x:t>
  </x:si>
  <x:si>
    <x:t xml:space="preserve">HU-012 · Done</x:t>
  </x:si>
  <x:si>
    <x:t xml:space="preserve">Administración de sedes/servicios implementada con permisos y activación/desactivación.</x:t>
  </x:si>
  <x:si>
    <x:t xml:space="preserve">HU-013</x:t>
  </x:si>
  <x:si>
    <x:t xml:space="preserve">Como administrador institucional, quiero registrar profesionales y asociarlos a servicios y sedes, para construir la agenda institucional.</x:t>
  </x:si>
  <x:si>
    <x:t xml:space="preserve">Gestionar profesionales</x:t>
  </x:si>
  <x:si>
    <x:t xml:space="preserve">RF-008</x:t>
  </x:si>
  <x:si>
    <x:t xml:space="preserve">El profesional se asocia a una institución y a servicios válidos. • No se crean asociaciones duplicadas equivalentes. • Los cambios relevantes quedan auditados.</x:t>
  </x:si>
  <x:si>
    <x:t xml:space="preserve">feat/professional-administration</x:t>
  </x:si>
  <x:si>
    <x:t xml:space="preserve">HU-013 · Done</x:t>
  </x:si>
  <x:si>
    <x:t xml:space="preserve">Administración de profesionales y asociaciones implementada.</x:t>
  </x:si>
  <x:si>
    <x:t xml:space="preserve">HU-014</x:t>
  </x:si>
  <x:si>
    <x:t xml:space="preserve">Agenda</x:t>
  </x:si>
  <x:si>
    <x:t xml:space="preserve">Como usuario autorizado, quiero configurar disponibilidad, bloqueos e indisponibilidades, para evitar que se ofrezcan horarios no atendibles.</x:t>
  </x:si>
  <x:si>
    <x:t xml:space="preserve">Configurar disponibilidad</x:t>
  </x:si>
  <x:si>
    <x:t xml:space="preserve">RF-009</x:t>
  </x:si>
  <x:si>
    <x:t xml:space="preserve">No se aceptan rangos inválidos o superpuestos cuando generen conflicto. • Los bloqueos impiden nuevas reservas en el periodo afectado. • La agenda refleja los cambios de disponibilidad.</x:t>
  </x:si>
  <x:si>
    <x:t xml:space="preserve">feat/availability-administration</x:t>
  </x:si>
  <x:si>
    <x:t xml:space="preserve">HU-014 · Done</x:t>
  </x:si>
  <x:si>
    <x:t xml:space="preserve">Disponibilidad, materialización de cupos y bloqueos implementados.</x:t>
  </x:si>
  <x:si>
    <x:t xml:space="preserve">HU-015</x:t>
  </x:si>
  <x:si>
    <x:t xml:space="preserve">Como funcionario, quiero consultar la agenda por fecha, sede, servicio, profesional y estado, para gestionar la operación diaria.</x:t>
  </x:si>
  <x:si>
    <x:t xml:space="preserve">Consultar agenda institucional</x:t>
  </x:si>
  <x:si>
    <x:t xml:space="preserve">RF-010</x:t>
  </x:si>
  <x:si>
    <x:t xml:space="preserve">La agenda puede filtrarse por los criterios definidos. • Cada cita muestra estado y datos operativos relevantes. • El usuario sólo consulta sedes/recursos dentro de su ámbito autorizado.</x:t>
  </x:si>
  <x:si>
    <x:t xml:space="preserve">feat/institutional-agenda</x:t>
  </x:si>
  <x:si>
    <x:t xml:space="preserve">HU-015 · Done</x:t>
  </x:si>
  <x:si>
    <x:t xml:space="preserve">Agenda institucional con filtros y trazabilidad de estados implementada.</x:t>
  </x:si>
  <x:si>
    <x:t xml:space="preserve">HU-016</x:t>
  </x:si>
  <x:si>
    <x:t xml:space="preserve">Reasignación</x:t>
  </x:si>
  <x:si>
    <x:t xml:space="preserve">Como funcionario autorizado, quiero visualizar el cupo liberado, candidatos evaluados, oferta y estado del flujo, para supervisar la reasignación automática.</x:t>
  </x:si>
  <x:si>
    <x:t xml:space="preserve">Supervisar una reasignación</x:t>
  </x:si>
  <x:si>
    <x:t xml:space="preserve">RF-032 / RF-033</x:t>
  </x:si>
  <x:si>
    <x:t xml:space="preserve">El flujo muestra al menos cupo, candidatos, oferta y estado actual. • La vista distingue operación automática de intervención manual autorizada. • Cada paso crítico posee trazabilidad.</x:t>
  </x:si>
  <x:si>
    <x:t xml:space="preserve">feat/reassignment-supervision</x:t>
  </x:si>
  <x:si>
    <x:t xml:space="preserve">HU-016 · Done</x:t>
  </x:si>
  <x:si>
    <x:t xml:space="preserve">Consulta read-only de reasignación con trazabilidad y política implementada.</x:t>
  </x:si>
  <x:si>
    <x:t xml:space="preserve">HU-017</x:t>
  </x:si>
  <x:si>
    <x:t xml:space="preserve">Operación</x:t>
  </x:si>
  <x:si>
    <x:t xml:space="preserve">Como funcionario o profesional autorizado, quiero registrar asistencia o inasistencia, para mantener el historial operativo y apoyar las reglas institucionales.</x:t>
  </x:si>
  <x:si>
    <x:t xml:space="preserve">Registrar asistencia e inasistencia</x:t>
  </x:si>
  <x:si>
    <x:t xml:space="preserve">Media</x:t>
  </x:si>
  <x:si>
    <x:t xml:space="preserve">RF-017</x:t>
  </x:si>
  <x:si>
    <x:t xml:space="preserve">Objetivo</x:t>
  </x:si>
  <x:si>
    <x:t xml:space="preserve">Sólo roles autorizados registran asistencia/inasistencia. • No se registra asistencia sobre una cita cancelada. • El cambio queda persistido y auditado.</x:t>
  </x:si>
  <x:si>
    <x:t xml:space="preserve">feat/appointment-attendance</x:t>
  </x:si>
  <x:si>
    <x:t xml:space="preserve">HU-017 · Done</x:t>
  </x:si>
  <x:si>
    <x:t xml:space="preserve">Registro de ATENDIDA/INASISTENCIA implementado con control de transiciones.</x:t>
  </x:si>
  <x:si>
    <x:t xml:space="preserve">HU-018</x:t>
  </x:si>
  <x:si>
    <x:t xml:space="preserve">Como administrador institucional, quiero configurar parámetros permitidos de priorización, para adaptar la reasignación a las políticas de la institución.</x:t>
  </x:si>
  <x:si>
    <x:t xml:space="preserve">Configurar reglas de reasignación</x:t>
  </x:si>
  <x:si>
    <x:t xml:space="preserve">Pendiente trazabilidad RF</x:t>
  </x:si>
  <x:si>
    <x:t xml:space="preserve">Sólo administradores autorizados pueden cambiar parámetros. • Los valores deben respetar límites definidos por el sistema. • Los cambios quedan versionados o auditados y no alteran retroactivamente decisiones cerradas.</x:t>
  </x:si>
  <x:si>
    <x:t xml:space="preserve">feat/reassignment-policy</x:t>
  </x:si>
  <x:si>
    <x:t xml:space="preserve">HU-018 · Done</x:t>
  </x:si>
  <x:si>
    <x:t xml:space="preserve">Políticas versionadas e inmutables de reasignación implementadas.</x:t>
  </x:si>
  <x:si>
    <x:t xml:space="preserve">HU-019</x:t>
  </x:si>
  <x:si>
    <x:t xml:space="preserve">Reportes</x:t>
  </x:si>
  <x:si>
    <x:t xml:space="preserve">Como administrador, quiero consultar indicadores de cancelaciones, ofertas y cupos recuperados, para evaluar el desempeño de la agenda.</x:t>
  </x:si>
  <x:si>
    <x:t xml:space="preserve">Consultar indicadores</x:t>
  </x:si>
  <x:si>
    <x:t xml:space="preserve">Sprint 7</x:t>
  </x:si>
  <x:si>
    <x:t xml:space="preserve">RF-037</x:t>
  </x:si>
  <x:si>
    <x:t xml:space="preserve">Los indicadores se calculan a partir de datos persistidos. • Los filtros respetan el ámbito institucional. • Los resultados distinguen cancelaciones, ofertas, aceptaciones, expiraciones y cupos recuperados cuando corresponda.</x:t>
  </x:si>
  <x:si>
    <x:t xml:space="preserve">feat/reports-indicators · PR #84</x:t>
  </x:si>
  <x:si>
    <x:t xml:space="preserve">HU-019 · Done</x:t>
  </x:si>
  <x:si>
    <x:t xml:space="preserve">Indicadores institucionales implementados y validados.</x:t>
  </x:si>
  <x:si>
    <x:t xml:space="preserve">HU-020</x:t>
  </x:si>
  <x:si>
    <x:t xml:space="preserve">Auditoría</x:t>
  </x:si>
  <x:si>
    <x:t xml:space="preserve">Como auditor autorizado, quiero consultar la bitácora de operaciones relevantes, para reconstruir qué ocurrió, cuándo y por quién.</x:t>
  </x:si>
  <x:si>
    <x:t xml:space="preserve">Consultar trazabilidad</x:t>
  </x:si>
  <x:si>
    <x:t xml:space="preserve">RF-036</x:t>
  </x:si>
  <x:si>
    <x:t xml:space="preserve">El auditor posee acceso de lectura sin capacidad de alterar eventos. • La bitácora permite identificar actor/sistema, fecha, acción y recurso afectado según corresponda. • Los logs no exponen secretos o credenciales.</x:t>
  </x:si>
  <x:si>
    <x:t xml:space="preserve">feat/audit-trail · PR #86</x:t>
  </x:si>
  <x:si>
    <x:t xml:space="preserve">HU-020 · Done</x:t>
  </x:si>
  <x:si>
    <x:t xml:space="preserve">Auditoría read-only e instrumentación de eventos relevantes implementadas y validadas.</x:t>
  </x:si>
  <x:si>
    <x:t xml:space="preserve">HU-021</x:t>
  </x:si>
  <x:si>
    <x:t xml:space="preserve">Como usuario de CitaJusta, quiero gestionar desde la Web mi participación en listas de espera y sus preferencias, para inscribirme, ajustar mis condiciones de atención y retirarme cuando corresponda.</x:t>
  </x:si>
  <x:si>
    <x:t xml:space="preserve">Gestionar lista de espera y preferencias desde la Web</x:t>
  </x:si>
  <x:si>
    <x:t xml:space="preserve">Por estimar</x:t>
  </x:si>
  <x:si>
    <x:t xml:space="preserve">HU-007 / HU-008 Web</x:t>
  </x:si>
  <x:si>
    <x:t xml:space="preserve">El usuario autenticado puede consultar e ingresar a listas válidas. • Puede configurar días, rangos y sedes preferidas. • Puede retirarse. • La UI usa respuestas reales y no replica ranking/elegibilidad.</x:t>
  </x:si>
  <x:si>
    <x:t xml:space="preserve">feat/web-waitlist · PR #89 · merge c291d17</x:t>
  </x:si>
  <x:si>
    <x:t xml:space="preserve">HU-021 · Done</x:t>
  </x:si>
  <x:si>
    <x:t xml:space="preserve">Validación real Web + API + PostgreSQL: alta ACTIVE, preferencias persistentes y retiro. Web 56/56; development/seed 11/11; Waitlist E2E 24/24.</x:t>
  </x:si>
  <x:si>
    <x:t xml:space="preserve">HU-022</x:t>
  </x:si>
  <x:si>
    <x:t xml:space="preserve">Como usuario de CitaJusta, quiero visualizar y responder desde la Web las ofertas de reasignación que reciba, para aceptar una nueva hora compatible o rechazarla de forma segura.</x:t>
  </x:si>
  <x:si>
    <x:t xml:space="preserve">Gestionar ofertas de reasignación desde la Web</x:t>
  </x:si>
  <x:si>
    <x:t xml:space="preserve">HU-009 / HU-010 / HU-011 Web</x:t>
  </x:si>
  <x:si>
    <x:t xml:space="preserve">La Web muestra ofertas reales y su expiresAt. • Permite aceptar/rechazar mediante los endpoints reales. • La aceptación transfiere la cita existente. • El rechazo no crea una cita. • El cliente no recalcula elegibilidad ni ranking.</x:t>
  </x:si>
  <x:si>
    <x:t xml:space="preserve">feat/web-reassignment-offers · PR #93 · merge 5701ab7</x:t>
  </x:si>
  <x:si>
    <x:t xml:space="preserve">HU-022 · Done</x:t>
  </x:si>
  <x:si>
    <x:t xml:space="preserve">Validación completa Web + API + PostgreSQL: ACCEPT transfirió cita AGENDADA; REJECT no creó cita; oferta vencida deshabilitada sin mutación desde el cliente.</x:t>
  </x:si>
  <x:si>
    <x:t xml:space="preserve">HU-023</x:t>
  </x:si>
  <x:si>
    <x:t xml:space="preserve">Ofertas / Reasignación</x:t>
  </x:si>
  <x:si>
    <x:t xml:space="preserve">Como sistema CitaJusta, quiero expirar automáticamente las ofertas vencidas y continuar con el siguiente candidato elegible, para recuperar cupos liberados sin depender de intervención manual.</x:t>
  </x:si>
  <x:si>
    <x:t xml:space="preserve">Automatizar expiración y continuidad de reasignación</x:t>
  </x:si>
  <x:si>
    <x:t xml:space="preserve">RF-029 / RF-030 / RF-036</x:t>
  </x:si>
  <x:si>
    <x:t xml:space="preserve">Una oferta PENDING vencida pasa de forma persistente a EXPIRED. • La continuidad genera como máximo una siguiente oferta. • Sin candidatos el proceso queda EXHAUSTED. • Cupo/contexto inutilizable cierra CANCELLED. • La operación es idempotente, transaccional y segura ante concurrencia.</x:t>
  </x:si>
  <x:si>
    <x:t xml:space="preserve">feat/automatic-offer-expiration · PR #96 · merge 109b1c9</x:t>
  </x:si>
  <x:si>
    <x:t xml:space="preserve">HU-023 · Done</x:t>
  </x:si>
  <x:si>
    <x:t xml:space="preserve">Runner interno sin dependencias nuevas. Auditoría OFFER_EXPIRED. Validación: API 368/368; E2E expiración 10/10; reasignaciones 20/20; audit 11/11; policy 13/13; reports 15/15; checkpoint 1/1.</x:t>
  </x:si>
  <x:si>
    <x:t xml:space="preserve">HU-024</x:t>
  </x:si>
  <x:si>
    <x:t xml:space="preserve">Notificaciones</x:t>
  </x:si>
  <x:si>
    <x:t xml:space="preserve">Como usuario de CitaJusta, quiero recibir y consultar notificaciones internas sobre eventos importantes de mis citas, lista de espera y ofertas, para mantenerme informado sin depender de servicios externos.</x:t>
  </x:si>
  <x:si>
    <x:t xml:space="preserve">Implementar notificaciones internas</x:t>
  </x:si>
  <x:si>
    <x:t xml:space="preserve">RF-034</x:t>
  </x:si>
  <x:si>
    <x:t xml:space="preserve">Las notificaciones se persisten dentro de las transacciones reales del dominio. • Sólo el destinatario autenticado puede consultarlas o marcarlas como leídas. • Reintentos idempotentes no generan duplicados. • La Web muestra contador, listado y lectura persistente.</x:t>
  </x:si>
  <x:si>
    <x:t xml:space="preserve">feat/internal-notifications · PR #99 · merge b1bff30</x:t>
  </x:si>
  <x:si>
    <x:t xml:space="preserve">HU-024 · Done</x:t>
  </x:si>
  <x:si>
    <x:t xml:space="preserve">Ocho eventos integrados. API /notifications/me + unread-count + read. Web /notificaciones. Validación: nuevos API 6/6; E2E notifications 8/8; API dirigida 157/157; regresión crítica 87/87; Web 83/83; prueba manual de lectura y logout/login PASS.</x:t>
  </x:si>
  <x:si>
    <x:t xml:space="preserve">HU-025</x:t>
  </x:si>
  <x:si>
    <x:t xml:space="preserve">Como sistema CitaJusta, quiero iniciar automáticamente la reasignación cuando una cancelación libera un cupo reutilizable, para ofrecerlo a candidatos compatibles sin intervención administrativa.</x:t>
  </x:si>
  <x:si>
    <x:t xml:space="preserve">Iniciar reasignación automática tras cancelación</x:t>
  </x:si>
  <x:si>
    <x:t xml:space="preserve">Refuerzo RF-022 a RF-030</x:t>
  </x:si>
  <x:si>
    <x:t xml:space="preserve">Una cancelación que libera un cupo reutilizable inicia la reasignación en la misma transacción. • No crea procesos/ofertas duplicados. • Sin candidatos elegibles queda EXHAUSTED. • Cupos no reutilizables permiten completar la cancelación sin procesos parciales.</x:t>
  </x:si>
  <x:si>
    <x:t xml:space="preserve">feat/automatic-reassignment-start · PR #105 · merge ea33e9f</x:t>
  </x:si>
  <x:si>
    <x:t xml:space="preserve">CitaJusta #103 · Done</x:t>
  </x:si>
  <x:si>
    <x:t xml:space="preserve">Validación: API 390/390; E2E automatic-start 8/8; build y regresión relacionada PASS. Inicio automático auditado como SYSTEM y cancelación como USER.</x:t>
  </x:si>
  <x:si>
    <x:t xml:space="preserve">HU-026</x:t>
  </x:si>
  <x:si>
    <x:t xml:space="preserve">Como usuario de CitaJusta, quiero elegir una fecha específica o una búsqueda flexible, para encontrar disponibilidad de acuerdo con el día en que necesito atenderme.</x:t>
  </x:si>
  <x:si>
    <x:t xml:space="preserve">Buscar disponibilidad por fecha específica</x:t>
  </x:si>
  <x:si>
    <x:t xml:space="preserve">Permite Fecha específica mediante calendario o modo flexible 7/14/30 días. • Rechaza fechas pasadas. • Hoy inicia desde la hora actual. • Respeta calendario local y cambios DST. • Mantiene el mismo contrato from/to del backend.</x:t>
  </x:si>
  <x:si>
    <x:t xml:space="preserve">feat/availability-date-search · PR #107 · merge ec427a4</x:t>
  </x:si>
  <x:si>
    <x:t xml:space="preserve">HU-026 · Done</x:t>
  </x:si>
  <x:si>
    <x:t xml:space="preserve">Validación: fechas 10/10; UI 16/16; Web 95/95; typecheck/build PASS. Prueba manual: 4 cupos reales coincidentes entre búsqueda flexible y fecha específica.</x:t>
  </x:si>
  <x:si>
    <x:t xml:space="preserve">HU-027</x:t>
  </x:si>
  <x:si>
    <x:t xml:space="preserve">Desktop institucional</x:t>
  </x:si>
  <x:si>
    <x:t xml:space="preserve">Inicializar la aplicación institucional de escritorio con Tauri + React + TypeScript para disponer de una base nativa que consuma la misma API REST de CitaJusta.</x:t>
  </x:si>
  <x:si>
    <x:t xml:space="preserve">Inicializar aplicación Desktop institucional con Tauri</x:t>
  </x:si>
  <x:si>
    <x:t xml:space="preserve">Fundación Desktop / interfaz institucional</x:t>
  </x:si>
  <x:si>
    <x:t xml:space="preserve">Existe apps/desktop dentro del monorepo. • Tauri 2 + React/Vite/TypeScript compila y abre correctamente. • La shell institucional queda preparada sin duplicar reglas de negocio en Rust/Tauri.</x:t>
  </x:si>
  <x:si>
    <x:t xml:space="preserve">feat/desktop-tauri-foundation · commit 01ff1b1 · PR #112 · merge 6adab82</x:t>
  </x:si>
  <x:si>
    <x:t xml:space="preserve">HU-027 · Done</x:t>
  </x:si>
  <x:si>
    <x:t xml:space="preserve">Fundación Desktop creada y validada con build frontend, cargo check y ejecución nativa Tauri.</x:t>
  </x:si>
  <x:si>
    <x:t xml:space="preserve">HU-028</x:t>
  </x:si>
  <x:si>
    <x:t xml:space="preserve">Como usuario institucional, quiero iniciar sesión de forma segura en CitaJusta Desktop, para acceder a la API con mi contexto autorizado sin persistir tokens de forma insegura.</x:t>
  </x:si>
  <x:si>
    <x:t xml:space="preserve">Autenticación Desktop y client-core compartido</x:t>
  </x:si>
  <x:si>
    <x:t xml:space="preserve">Auth Desktop / cliente compartido</x:t>
  </x:si>
  <x:si>
    <x:t xml:space="preserve">Login real contra API. • Perfil/contexto provienen del backend. • Tokens permanecen sólo en memoria. • Web y Desktop comparten HTTP/sesión mediante @citajusta/client-core. • Logout elimina la sesión local.</x:t>
  </x:si>
  <x:si>
    <x:t xml:space="preserve">feat/desktop-auth-api · commit 46fb85f · PR #113 · merge ae151b3</x:t>
  </x:si>
  <x:si>
    <x:t xml:space="preserve">HU-028 · Done</x:t>
  </x:si>
  <x:si>
    <x:t xml:space="preserve">Validación: Web 95/95; Desktop 7/7; client-core 2/2; builds y cargo check PASS; login/logout manual en Tauri PASS.</x:t>
  </x:si>
  <x:si>
    <x:t xml:space="preserve">HU-029</x:t>
  </x:si>
  <x:si>
    <x:t xml:space="preserve">Como usuario institucional autorizado, quiero gestionar las sedes y servicios de mi institución desde CitaJusta Desktop, para mantener actualizado el catálogo institucional utilizado por agenda, profesionales, disponibilidad y procesos de atención.</x:t>
  </x:si>
  <x:si>
    <x:t xml:space="preserve">Gestionar sedes y servicios desde Desktop</x:t>
  </x:si>
  <x:si>
    <x:t xml:space="preserve">HU-012 Desktop / RBAC administrativo</x:t>
  </x:si>
  <x:si>
    <x:t xml:space="preserve">Lecturas administrativas respetan tenant y scope. • Crear/editar/activar/inactivar sedes y servicios usa permisos explícitos. • Servicios administran branchIds y categorías reales. • GET públicos existentes conservan su contrato.</x:t>
  </x:si>
  <x:si>
    <x:t xml:space="preserve">feat/desktop-branch-service-management · commit f58c742 · merge e1cdb2e</x:t>
  </x:si>
  <x:si>
    <x:t xml:space="preserve">HU-029 · Done</x:t>
  </x:si>
  <x:si>
    <x:t xml:space="preserve">Validación: API 394/394; backend enfocado 34/34; E2E catálogo 15/15; Web 95/95; Desktop 16/16; client-core 4/4; Prisma/build/cargo/diff PASS y prueba manual Tauri/PostgreSQL completa.</x:t>
  </x:si>
  <x:si>
    <x:t xml:space="preserve">Indicador</x:t>
  </x:si>
  <x:si>
    <x:t xml:space="preserve">Valor</x:t>
  </x:si>
  <x:si>
    <x:t xml:space="preserve">Historias</x:t>
  </x:si>
  <x:si>
    <x:t xml:space="preserve">Historias totales</x:t>
  </x:si>
  <x:si>
    <x:t xml:space="preserve">Story Points base HU-001–HU-020</x:t>
  </x:si>
  <x:si>
    <x:t xml:space="preserve">En progreso</x:t>
  </x:si>
  <x:si>
    <x:t xml:space="preserve">Pendiente</x:t>
  </x:si>
  <x:si>
    <x:t xml:space="preserve">SP completados base HU-001–HU-020</x:t>
  </x:si>
  <x:si>
    <x:t xml:space="preserve">Avance SP backlog base</x:t>
  </x:si>
  <x:si>
    <x:t xml:space="preserve">Historias MVP</x:t>
  </x:si>
  <x:si>
    <x:t xml:space="preserve">Historias Objetivo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</x:si>
</x:sst>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2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name val="Carlito"/>
    </x:font>
    <x:font>
      <x:i/>
      <x:sz val="9"/>
      <x:color rgb="FF4B5563"/>
      <x:name val="Carlito"/>
    </x:font>
    <x:font>
      <x:sz val="10"/>
      <x:color rgb="FF000000"/>
      <x:name val="Carlito"/>
    </x:font>
    <x:font>
      <x:b/>
      <x:sz val="11"/>
      <x:color rgb="FF111111"/>
      <x:name val="Carlito"/>
    </x:font>
    <x:font>
      <x:sz val="10"/>
      <x:color rgb="FF11111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theme="9" tint="0.79992"/>
      </x:patternFill>
    </x:fill>
    <x:fill>
      <x:patternFill patternType="solid">
        <x:fgColor theme="0"/>
      </x:patternFill>
    </x:fill>
    <x:fill>
      <x:patternFill patternType="solid">
        <x:fgColor theme="5" tint="0.79998"/>
      </x:patternFill>
    </x:fill>
    <x:fill>
      <x:patternFill patternType="solid">
        <x:fgColor rgb="FFDDEED4"/>
      </x:patternFill>
    </x:fill>
  </x:fills>
  <x:borders count="5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2" fillId="0" borderId="1" xfId="0" applyFont="1" applyBorder="1" applyAlignment="1">
      <x:alignment vertical="top" wrapText="1"/>
    </x:xf>
    <x:xf numFmtId="0" fontId="4" fillId="3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wrapText="1"/>
    </x:xf>
    <x:xf numFmtId="0" fontId="6" fillId="3" borderId="1" xfId="0" applyFont="1" applyFill="1" applyBorder="1" applyAlignment="1">
      <x:alignment wrapText="1"/>
    </x:xf>
    <x:xf numFmtId="0" fontId="5" fillId="0" borderId="1" xfId="0" applyFont="1" applyBorder="1" applyAlignment="1">
      <x:alignment wrapText="1"/>
    </x:xf>
    <x:xf numFmtId="164" fontId="5" fillId="0" borderId="1" xfId="0" applyNumberFormat="1" applyFont="1" applyBorder="1" applyAlignment="1">
      <x:alignment wrapText="1"/>
    </x:xf>
    <x:xf numFmtId="0" fontId="0" fillId="0" borderId="0" xfId="0" applyAlignment="1">
      <x:alignment wrapText="1"/>
    </x:xf>
    <x:xf numFmtId="0" fontId="2" fillId="0" borderId="14" xfId="0" applyFont="1" applyBorder="1" applyAlignment="1">
      <x:alignment vertical="top" wrapText="1"/>
    </x:xf>
    <x:xf numFmtId="0" fontId="3" fillId="6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horizontal="center" vertical="center" wrapText="1"/>
    </x:xf>
    <x:xf numFmtId="0" fontId="0" fillId="0" borderId="15" xfId="0" applyBorder="1" applyAlignment="1">
      <x:alignment horizontal="center" vertical="center" wrapText="1"/>
    </x:xf>
    <x:xf numFmtId="0" fontId="2" fillId="0" borderId="16" xfId="0" applyFont="1" applyBorder="1" applyAlignment="1">
      <x:alignment vertical="top" wrapText="1"/>
    </x:xf>
    <x:xf numFmtId="0" fontId="0" fillId="0" borderId="17" xfId="0" applyBorder="1" applyAlignment="1">
      <x:alignment horizontal="center" vertical="center"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1" fillId="2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wrapText="1"/>
    </x:xf>
    <x:xf numFmtId="0" fontId="6" fillId="4" borderId="2" xfId="0" applyFont="1" applyFill="1" applyBorder="1" applyAlignment="1">
      <x:alignment wrapText="1"/>
    </x:xf>
    <x:xf numFmtId="0" fontId="7" fillId="0" borderId="3" xfId="0" applyFont="1" applyBorder="1"/>
    <x:xf numFmtId="0" fontId="0" fillId="0" borderId="4" xfId="0" applyBorder="1" applyAlignment="1">
      <x:alignment vertical="top" wrapText="1"/>
    </x:xf>
    <x:xf numFmtId="0" fontId="7" fillId="0" borderId="5" xfId="0" applyFont="1" applyBorder="1" applyAlignment="1">
      <x:alignment wrapText="1"/>
    </x:xf>
    <x:xf numFmtId="0" fontId="7" fillId="0" borderId="6" xfId="0" applyFont="1" applyBorder="1" applyAlignment="1">
      <x:alignment wrapText="1"/>
    </x:xf>
    <x:xf numFmtId="0" fontId="7" fillId="0" borderId="7" xfId="0" applyFont="1" applyBorder="1" applyAlignment="1">
      <x:alignment wrapText="1"/>
    </x:xf>
    <x:xf numFmtId="0" fontId="7" fillId="0" borderId="8" xfId="0" applyFont="1" applyBorder="1"/>
    <x:xf numFmtId="0" fontId="7" fillId="0" borderId="9" xfId="0" applyFont="1" applyBorder="1"/>
    <x:xf numFmtId="0" fontId="6" fillId="5" borderId="2" xfId="0" applyFont="1" applyFill="1" applyBorder="1"/>
    <x:xf numFmtId="0" fontId="7" fillId="0" borderId="10" xfId="0" applyFont="1" applyBorder="1"/>
    <x:xf numFmtId="0" fontId="7" fillId="0" borderId="11" xfId="0" applyFont="1" applyBorder="1" applyAlignment="1">
      <x:alignment wrapText="1"/>
    </x:xf>
    <x:xf numFmtId="0" fontId="7" fillId="0" borderId="6" xfId="0" applyFont="1" applyBorder="1"/>
    <x:xf numFmtId="0" fontId="7" fillId="0" borderId="7" xfId="0" applyFont="1" applyBorder="1"/>
    <x:xf numFmtId="0" fontId="7" fillId="0" borderId="12" xfId="0" applyFont="1" applyBorder="1"/>
    <x:xf numFmtId="0" fontId="0" fillId="7" borderId="13" xfId="0" applyFill="1" applyBorder="1" applyAlignment="1">
      <x:alignment horizontal="center" vertical="center" wrapText="1"/>
    </x:xf>
    <x:xf numFmtId="0" fontId="0" fillId="0" borderId="18" xfId="0" applyBorder="1" applyAlignment="1">
      <x:alignment horizontal="center" vertical="center" wrapText="1"/>
    </x:xf>
    <x:xf numFmtId="0" fontId="0" fillId="0" borderId="19" xfId="0" applyBorder="1" applyAlignment="1">
      <x:alignment horizontal="center" vertical="center" wrapText="1"/>
    </x:xf>
    <x:xf numFmtId="0" fontId="0" fillId="0" borderId="20" xfId="0" applyBorder="1" applyAlignment="1">
      <x:alignment horizontal="center" vertical="center" wrapText="1"/>
    </x:xf>
    <x:xf numFmtId="0" fontId="0" fillId="0" borderId="21" xfId="0" applyBorder="1" applyAlignment="1">
      <x:alignment horizontal="center" vertical="center" wrapText="1"/>
    </x:xf>
    <x:xf numFmtId="0" fontId="0" fillId="0" borderId="0" xfId="0" applyBorder="1" applyAlignment="1">
      <x:alignment horizontal="center" vertical="center" wrapText="1"/>
    </x:xf>
    <x:xf numFmtId="0" fontId="0" fillId="0" borderId="22" xfId="0" applyBorder="1" applyAlignment="1">
      <x:alignment horizontal="center" vertical="center" wrapText="1"/>
    </x:xf>
    <x:xf numFmtId="0" fontId="0" fillId="0" borderId="23" xfId="0" applyBorder="1" applyAlignment="1">
      <x:alignment horizontal="center" vertical="center" wrapText="1"/>
    </x:xf>
    <x:xf numFmtId="0" fontId="0" fillId="0" borderId="24" xfId="0" applyBorder="1" applyAlignment="1">
      <x:alignment horizontal="center" vertical="center" wrapText="1"/>
    </x:xf>
    <x:xf numFmtId="0" fontId="0" fillId="0" borderId="25" xfId="0" applyBorder="1" applyAlignment="1">
      <x:alignment horizontal="center" vertical="center" wrapText="1"/>
    </x:xf>
    <x:xf numFmtId="0" fontId="2" fillId="0" borderId="13" xfId="0" applyFont="1" applyBorder="1" applyAlignment="1">
      <x:alignment vertical="top" wrapText="1"/>
    </x:xf>
    <x:xf numFmtId="0" fontId="2" fillId="7" borderId="17" xfId="0" applyFont="1" applyFill="1" applyBorder="1" applyAlignment="1">
      <x:alignment horizontal="center" vertical="center" wrapText="1"/>
    </x:xf>
    <x:xf numFmtId="0" fontId="2" fillId="8" borderId="0" xfId="0" applyFont="1" applyFill="1" applyAlignment="1">
      <x:alignment wrapText="1"/>
    </x:xf>
    <x:xf numFmtId="0" fontId="0" fillId="8" borderId="0" xfId="0" applyFill="1" applyAlignment="1">
      <x:alignment wrapText="1"/>
    </x:xf>
    <x:xf numFmtId="0" fontId="0" fillId="0" borderId="26" xfId="0" applyNumberFormat="1" applyFont="1" applyFill="1" applyBorder="1"/>
    <x:xf numFmtId="0" fontId="2" fillId="0" borderId="27" xfId="0" applyNumberFormat="1" applyFont="1" applyFill="1" applyBorder="1" applyAlignment="1">
      <x:alignment vertical="top" wrapText="1"/>
    </x:xf>
    <x:xf numFmtId="0" fontId="4" fillId="3" borderId="27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wrapText="1"/>
    </x:xf>
    <x:xf numFmtId="0" fontId="6" fillId="3" borderId="27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164" fontId="0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vertical="top" wrapText="1"/>
    </x:xf>
    <x:xf numFmtId="0" fontId="3" fillId="6" borderId="29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2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1" fillId="2" borderId="26" xfId="0" applyNumberFormat="1" applyFont="1" applyFill="1" applyBorder="1" applyAlignment="1">
      <x:alignment horizontal="center" vertical="center"/>
    </x:xf>
    <x:xf numFmtId="0" fontId="1" fillId="2" borderId="29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wrapText="1"/>
    </x:xf>
    <x:xf numFmtId="0" fontId="6" fillId="4" borderId="33" xfId="0" applyNumberFormat="1" applyFont="1" applyFill="1" applyBorder="1" applyAlignment="1">
      <x:alignment wrapText="1"/>
    </x:xf>
    <x:xf numFmtId="0" fontId="7" fillId="0" borderId="34" xfId="0" applyNumberFormat="1" applyFont="1" applyFill="1" applyBorder="1"/>
    <x:xf numFmtId="0" fontId="0" fillId="0" borderId="35" xfId="0" applyNumberFormat="1" applyFont="1" applyFill="1" applyBorder="1" applyAlignment="1">
      <x:alignment vertical="top" wrapText="1"/>
    </x:xf>
    <x:xf numFmtId="0" fontId="7" fillId="0" borderId="36" xfId="0" applyNumberFormat="1" applyFont="1" applyFill="1" applyBorder="1" applyAlignment="1">
      <x:alignment wrapText="1"/>
    </x:xf>
    <x:xf numFmtId="0" fontId="7" fillId="0" borderId="37" xfId="0" applyNumberFormat="1" applyFont="1" applyFill="1" applyBorder="1" applyAlignment="1">
      <x:alignment wrapText="1"/>
    </x:xf>
    <x:xf numFmtId="0" fontId="7" fillId="0" borderId="38" xfId="0" applyNumberFormat="1" applyFont="1" applyFill="1" applyBorder="1" applyAlignment="1">
      <x:alignment wrapText="1"/>
    </x:xf>
    <x:xf numFmtId="0" fontId="7" fillId="0" borderId="39" xfId="0" applyNumberFormat="1" applyFont="1" applyFill="1" applyBorder="1"/>
    <x:xf numFmtId="0" fontId="7" fillId="0" borderId="40" xfId="0" applyNumberFormat="1" applyFont="1" applyFill="1" applyBorder="1"/>
    <x:xf numFmtId="0" fontId="6" fillId="5" borderId="33" xfId="0" applyNumberFormat="1" applyFont="1" applyFill="1" applyBorder="1"/>
    <x:xf numFmtId="0" fontId="7" fillId="0" borderId="41" xfId="0" applyNumberFormat="1" applyFont="1" applyFill="1" applyBorder="1"/>
    <x:xf numFmtId="0" fontId="7" fillId="0" borderId="42" xfId="0" applyNumberFormat="1" applyFont="1" applyFill="1" applyBorder="1" applyAlignment="1">
      <x:alignment wrapText="1"/>
    </x:xf>
    <x:xf numFmtId="0" fontId="7" fillId="0" borderId="37" xfId="0" applyNumberFormat="1" applyFont="1" applyFill="1" applyBorder="1"/>
    <x:xf numFmtId="0" fontId="7" fillId="0" borderId="38" xfId="0" applyNumberFormat="1" applyFont="1" applyFill="1" applyBorder="1"/>
    <x:xf numFmtId="0" fontId="7" fillId="0" borderId="43" xfId="0" applyNumberFormat="1" applyFont="1" applyFill="1" applyBorder="1"/>
    <x:xf numFmtId="0" fontId="0" fillId="7" borderId="29" xfId="0" applyNumberFormat="1" applyFont="1" applyFill="1" applyBorder="1" applyAlignment="1">
      <x:alignment horizontal="center" vertical="center" wrapText="1"/>
    </x:xf>
    <x:xf numFmtId="0" fontId="0" fillId="0" borderId="44" xfId="0" applyNumberFormat="1" applyFont="1" applyFill="1" applyBorder="1" applyAlignment="1">
      <x:alignment horizontal="center" vertical="center" wrapText="1"/>
    </x:xf>
    <x:xf numFmtId="0" fontId="0" fillId="0" borderId="45" xfId="0" applyNumberFormat="1" applyFont="1" applyFill="1" applyBorder="1" applyAlignment="1">
      <x:alignment horizontal="center" vertical="center" wrapText="1"/>
    </x:xf>
    <x:xf numFmtId="0" fontId="0" fillId="0" borderId="46" xfId="0" applyNumberFormat="1" applyFont="1" applyFill="1" applyBorder="1" applyAlignment="1">
      <x:alignment horizontal="center" vertical="center" wrapText="1"/>
    </x:xf>
    <x:xf numFmtId="0" fontId="0" fillId="0" borderId="47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48" xfId="0" applyNumberFormat="1" applyFont="1" applyFill="1" applyBorder="1" applyAlignment="1">
      <x:alignment horizontal="center" vertical="center" wrapText="1"/>
    </x:xf>
    <x:xf numFmtId="0" fontId="0" fillId="0" borderId="49" xfId="0" applyNumberFormat="1" applyFont="1" applyFill="1" applyBorder="1" applyAlignment="1">
      <x:alignment horizontal="center" vertical="center" wrapText="1"/>
    </x:xf>
    <x:xf numFmtId="0" fontId="0" fillId="0" borderId="50" xfId="0" applyNumberFormat="1" applyFont="1" applyFill="1" applyBorder="1" applyAlignment="1">
      <x:alignment horizontal="center" vertical="center" wrapText="1"/>
    </x:xf>
    <x:xf numFmtId="0" fontId="0" fillId="0" borderId="51" xfId="0" applyNumberFormat="1" applyFont="1" applyFill="1" applyBorder="1" applyAlignment="1">
      <x:alignment horizontal="center" vertical="center" wrapText="1"/>
    </x:xf>
    <x:xf numFmtId="0" fontId="2" fillId="0" borderId="29" xfId="0" applyNumberFormat="1" applyFont="1" applyFill="1" applyBorder="1" applyAlignment="1">
      <x:alignment vertical="top" wrapText="1"/>
    </x:xf>
    <x:xf numFmtId="0" fontId="2" fillId="7" borderId="32" xfId="0" applyNumberFormat="1" applyFont="1" applyFill="1" applyBorder="1" applyAlignment="1">
      <x:alignment horizontal="center" vertical="center" wrapText="1"/>
    </x:xf>
    <x:xf numFmtId="0" fontId="2" fillId="8" borderId="26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26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0" borderId="26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26" xfId="0" applyNumberFormat="1" applyFont="1" applyFill="1" applyBorder="1" applyAlignment="1">
      <x:alignment wrapText="1"/>
    </x:xf>
    <x:xf numFmtId="0" fontId="9" fillId="0" borderId="26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39" xfId="0" applyNumberFormat="1" applyFont="1" applyFill="1" applyBorder="1" applyAlignment="1">
      <x:alignment wrapText="1"/>
    </x:xf>
    <x:xf numFmtId="0" fontId="7" fillId="0" borderId="4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43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9" borderId="26" xfId="0" applyNumberFormat="1" applyFont="1" applyFill="1" applyBorder="1"/>
    <x:xf numFmtId="0" fontId="10" fillId="9" borderId="0" xfId="0" applyNumberFormat="1" applyFont="1" applyFill="1" applyBorder="1"/>
    <x:xf numFmtId="0" fontId="10" fillId="9" borderId="26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6" fillId="5" borderId="33" xfId="0" applyNumberFormat="1" applyFont="1" applyFill="1" applyBorder="1" applyAlignment="1">
      <x:alignment wrapText="1"/>
    </x:xf>
    <x:xf numFmtId="0" fontId="7" fillId="0" borderId="4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5" borderId="33" xfId="0" applyNumberFormat="1" applyFont="1" applyFill="1" applyBorder="1" applyAlignment="1">
      <x:alignment vertical="top" wrapText="1"/>
    </x:xf>
    <x:xf numFmtId="0" fontId="7" fillId="0" borderId="41" xfId="0" applyNumberFormat="1" applyFont="1" applyFill="1" applyBorder="1" applyAlignment="1">
      <x:alignment vertical="top" wrapText="1"/>
    </x:xf>
    <x:xf numFmtId="0" fontId="7" fillId="0" borderId="42" xfId="0" applyNumberFormat="1" applyFont="1" applyFill="1" applyBorder="1" applyAlignment="1">
      <x:alignment vertical="top" wrapText="1"/>
    </x:xf>
    <x:xf numFmtId="0" fontId="7" fillId="0" borderId="37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11" fillId="5" borderId="2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6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border>
        <x:bottom style="thin">
          <x:color indexed="6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01c1aaa9794e72" /><Relationship Type="http://schemas.openxmlformats.org/officeDocument/2006/relationships/theme" Target="/xl/theme/theme1.xml" Id="R9143cdf5a68e4d4e" /><Relationship Type="http://schemas.openxmlformats.org/officeDocument/2006/relationships/sharedStrings" Target="/xl/sharedStrings.xml" Id="Rcbf2fbd6f6f049f9" /><Relationship Type="http://schemas.openxmlformats.org/officeDocument/2006/relationships/worksheet" Target="/xl/worksheets/sheet1.xml" Id="R50655d6ff9bf4701" /><Relationship Type="http://schemas.openxmlformats.org/officeDocument/2006/relationships/worksheet" Target="/xl/worksheets/sheet2.xml" Id="R221b4cf1e3274e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6467bb80ae43ca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Resumen!$E$4:$E$6</c:f>
              <c:numCache>
                <c:formatCode>General</c:formatCode>
                <c:ptCount val="3"/>
                <c:pt idx="0">
                  <c:v>29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56864122"/>
        <c:crosses val="autoZero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41784184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6467bb80ae43ca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Product_backlog" displayName="Product_backlog" ref="A4:N24" headerRowBorderDxfId="3">
  <x:tableColumns count="14">
    <x:tableColumn id="1" name="ID"/>
    <x:tableColumn id="2" name="Épica"/>
    <x:tableColumn id="3" name="Historia de Usuario"/>
    <x:tableColumn id="4" name="Alias"/>
    <x:tableColumn id="5" name="Estado"/>
    <x:tableColumn id="6" name="Story Points"/>
    <x:tableColumn id="7" name="Sprint"/>
    <x:tableColumn id="8" name="Prioridad"/>
    <x:tableColumn id="9" name="RF"/>
    <x:tableColumn id="10" name="Alcance"/>
    <x:tableColumn id="11" name="Criterios de aceptación (resumen)"/>
    <x:tableColumn id="12" name="Evidencia / rama"/>
    <x:tableColumn id="13" name="Issue GitHub"/>
    <x:tableColumn id="14" name="Comentarios"/>
  </x:tableColumns>
  <x:tableStyleInfo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2d9d2d27d64d0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c9bb9d212604568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" customWidth="1"/>
    <x:col min="3" max="3" width="46" customWidth="1"/>
    <x:col min="4" max="4" width="26" customWidth="1"/>
    <x:col min="5" max="5" width="15" customWidth="1"/>
    <x:col min="6" max="6" width="22.125" customWidth="1"/>
    <x:col min="7" max="7" width="12" customWidth="1"/>
    <x:col min="8" max="8" width="15.75" customWidth="1"/>
    <x:col min="9" max="9" width="20" customWidth="1"/>
    <x:col min="10" max="10" width="12" customWidth="1"/>
    <x:col min="11" max="11" width="52" customWidth="1"/>
    <x:col min="12" max="12" width="38" customWidth="1"/>
    <x:col min="13" max="13" width="22" customWidth="1"/>
    <x:col min="14" max="14" width="44" customWidth="1"/>
  </x:cols>
  <x:sheetData>
    <x:row r="1" ht="27.75" customHeight="1">
      <x:c r="A1" s="14" t="s">
        <x:v>0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  <x:c r="N1" s="15"/>
    </x:row>
    <x:row r="2">
      <x:c r="A2" s="44" t="str">
        <x:v>Versión 1.9 · Actualización 04-10-2026 · HU-001 a HU-038 Done · Sprint 7 cerrado · Sprint 8 planificado para integraciones externas HU-039 a HU-043.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</x:row>
    <x:row r="4" ht="33.75" customHeight="1">
      <x:c r="A4" s="9" t="s">
        <x:v>1</x:v>
      </x:c>
      <x:c r="B4" s="9" t="s">
        <x:v>2</x:v>
      </x:c>
      <x:c r="C4" s="9" t="s">
        <x:v>3</x:v>
      </x:c>
      <x:c r="D4" s="9" t="s">
        <x:v>4</x:v>
      </x:c>
      <x:c r="E4" s="9" t="s">
        <x:v>5</x:v>
      </x:c>
      <x:c r="F4" s="9" t="s">
        <x:v>6</x:v>
      </x:c>
      <x:c r="G4" s="9" t="s">
        <x:v>7</x:v>
      </x:c>
      <x:c r="H4" s="9" t="s">
        <x:v>8</x:v>
      </x:c>
      <x:c r="I4" s="9" t="s">
        <x:v>9</x:v>
      </x:c>
      <x:c r="J4" s="9" t="s">
        <x:v>10</x:v>
      </x:c>
      <x:c r="K4" s="9" t="s">
        <x:v>11</x:v>
      </x:c>
      <x:c r="L4" s="9" t="s">
        <x:v>12</x:v>
      </x:c>
      <x:c r="M4" s="9" t="s">
        <x:v>13</x:v>
      </x:c>
      <x:c r="N4" s="9" t="s">
        <x:v>14</x:v>
      </x:c>
    </x:row>
    <x:row r="5" ht="43.5" customHeight="1">
      <x:c r="A5" s="8" t="s">
        <x:v>15</x:v>
      </x:c>
      <x:c r="B5" s="8" t="s">
        <x:v>16</x:v>
      </x:c>
      <x:c r="C5" s="8" t="s">
        <x:v>17</x:v>
      </x:c>
      <x:c r="D5" s="8" t="s">
        <x:v>18</x:v>
      </x:c>
      <x:c r="E5" s="8" t="s">
        <x:v>19</x:v>
      </x:c>
      <x:c r="F5" s="8">
        <x:v>3</x:v>
      </x:c>
      <x:c r="G5" s="8" t="s">
        <x:v>20</x:v>
      </x:c>
      <x:c r="H5" s="8" t="s">
        <x:v>21</x:v>
      </x:c>
      <x:c r="I5" s="8" t="s">
        <x:v>22</x:v>
      </x:c>
      <x:c r="J5" s="8" t="s">
        <x:v>23</x:v>
      </x:c>
      <x:c r="K5" s="8" t="s">
        <x:v>24</x:v>
      </x:c>
      <x:c r="L5" s="8" t="s">
        <x:v>25</x:v>
      </x:c>
      <x:c r="M5" s="8" t="s">
        <x:v>26</x:v>
      </x:c>
      <x:c r="N5" s="8" t="s">
        <x:v>27</x:v>
      </x:c>
    </x:row>
    <x:row r="6" ht="43.5" customHeight="1">
      <x:c r="A6" s="1" t="s">
        <x:v>28</x:v>
      </x:c>
      <x:c r="B6" s="1" t="s">
        <x:v>16</x:v>
      </x:c>
      <x:c r="C6" s="1" t="s">
        <x:v>29</x:v>
      </x:c>
      <x:c r="D6" s="1" t="s">
        <x:v>30</x:v>
      </x:c>
      <x:c r="E6" s="1" t="s">
        <x:v>19</x:v>
      </x:c>
      <x:c r="F6" s="1">
        <x:v>3</x:v>
      </x:c>
      <x:c r="G6" s="1" t="s">
        <x:v>20</x:v>
      </x:c>
      <x:c r="H6" s="1" t="s">
        <x:v>31</x:v>
      </x:c>
      <x:c r="I6" s="1" t="s">
        <x:v>32</x:v>
      </x:c>
      <x:c r="J6" s="1" t="s">
        <x:v>23</x:v>
      </x:c>
      <x:c r="K6" s="1" t="s">
        <x:v>33</x:v>
      </x:c>
      <x:c r="L6" s="1" t="s">
        <x:v>34</x:v>
      </x:c>
      <x:c r="M6" s="1" t="s">
        <x:v>26</x:v>
      </x:c>
      <x:c r="N6" s="1" t="s">
        <x:v>35</x:v>
      </x:c>
    </x:row>
    <x:row r="7" ht="43.5" customHeight="1">
      <x:c r="A7" s="1" t="s">
        <x:v>36</x:v>
      </x:c>
      <x:c r="B7" s="1" t="s">
        <x:v>37</x:v>
      </x:c>
      <x:c r="C7" s="1" t="s">
        <x:v>38</x:v>
      </x:c>
      <x:c r="D7" s="1" t="s">
        <x:v>39</x:v>
      </x:c>
      <x:c r="E7" s="1" t="s">
        <x:v>19</x:v>
      </x:c>
      <x:c r="F7" s="1">
        <x:v>5</x:v>
      </x:c>
      <x:c r="G7" s="1" t="s">
        <x:v>40</x:v>
      </x:c>
      <x:c r="H7" s="1" t="s">
        <x:v>31</x:v>
      </x:c>
      <x:c r="I7" s="1" t="s">
        <x:v>41</x:v>
      </x:c>
      <x:c r="J7" s="1" t="s">
        <x:v>23</x:v>
      </x:c>
      <x:c r="K7" s="1" t="s">
        <x:v>42</x:v>
      </x:c>
      <x:c r="L7" s="1" t="s">
        <x:v>43</x:v>
      </x:c>
      <x:c r="M7" s="1" t="s">
        <x:v>44</x:v>
      </x:c>
      <x:c r="N7" s="1" t="s">
        <x:v>45</x:v>
      </x:c>
    </x:row>
    <x:row r="8" ht="43.5" customHeight="1">
      <x:c r="A8" s="1" t="s">
        <x:v>46</x:v>
      </x:c>
      <x:c r="B8" s="1" t="s">
        <x:v>37</x:v>
      </x:c>
      <x:c r="C8" s="1" t="s">
        <x:v>47</x:v>
      </x:c>
      <x:c r="D8" s="1" t="s">
        <x:v>48</x:v>
      </x:c>
      <x:c r="E8" s="1" t="s">
        <x:v>19</x:v>
      </x:c>
      <x:c r="F8" s="1">
        <x:v>5</x:v>
      </x:c>
      <x:c r="G8" s="1" t="s">
        <x:v>49</x:v>
      </x:c>
      <x:c r="H8" s="1" t="s">
        <x:v>31</x:v>
      </x:c>
      <x:c r="I8" s="1" t="s">
        <x:v>50</x:v>
      </x:c>
      <x:c r="J8" s="1" t="s">
        <x:v>23</x:v>
      </x:c>
      <x:c r="K8" s="1" t="s">
        <x:v>51</x:v>
      </x:c>
      <x:c r="L8" s="1" t="s">
        <x:v>52</x:v>
      </x:c>
      <x:c r="M8" s="1" t="s">
        <x:v>53</x:v>
      </x:c>
      <x:c r="N8" s="1" t="s">
        <x:v>54</x:v>
      </x:c>
    </x:row>
    <x:row r="9" ht="43.5" customHeight="1">
      <x:c r="A9" s="1" t="s">
        <x:v>55</x:v>
      </x:c>
      <x:c r="B9" s="1" t="s">
        <x:v>37</x:v>
      </x:c>
      <x:c r="C9" s="1" t="s">
        <x:v>56</x:v>
      </x:c>
      <x:c r="D9" s="1" t="s">
        <x:v>57</x:v>
      </x:c>
      <x:c r="E9" s="1" t="s">
        <x:v>19</x:v>
      </x:c>
      <x:c r="F9" s="1">
        <x:v>3</x:v>
      </x:c>
      <x:c r="G9" s="1" t="s">
        <x:v>49</x:v>
      </x:c>
      <x:c r="H9" s="1" t="s">
        <x:v>21</x:v>
      </x:c>
      <x:c r="I9" s="1" t="s">
        <x:v>58</x:v>
      </x:c>
      <x:c r="J9" s="1" t="s">
        <x:v>23</x:v>
      </x:c>
      <x:c r="K9" s="1" t="s">
        <x:v>59</x:v>
      </x:c>
      <x:c r="L9" s="1" t="s">
        <x:v>60</x:v>
      </x:c>
      <x:c r="M9" s="1" t="s">
        <x:v>61</x:v>
      </x:c>
      <x:c r="N9" s="1" t="s">
        <x:v>62</x:v>
      </x:c>
    </x:row>
    <x:row r="10" ht="43.5" customHeight="1">
      <x:c r="A10" s="1" t="s">
        <x:v>63</x:v>
      </x:c>
      <x:c r="B10" s="1" t="s">
        <x:v>37</x:v>
      </x:c>
      <x:c r="C10" s="1" t="s">
        <x:v>64</x:v>
      </x:c>
      <x:c r="D10" s="1" t="s">
        <x:v>65</x:v>
      </x:c>
      <x:c r="E10" s="1" t="s">
        <x:v>19</x:v>
      </x:c>
      <x:c r="F10" s="1">
        <x:v>5</x:v>
      </x:c>
      <x:c r="G10" s="1" t="s">
        <x:v>49</x:v>
      </x:c>
      <x:c r="H10" s="1" t="s">
        <x:v>31</x:v>
      </x:c>
      <x:c r="I10" s="1" t="s">
        <x:v>66</x:v>
      </x:c>
      <x:c r="J10" s="1" t="s">
        <x:v>23</x:v>
      </x:c>
      <x:c r="K10" s="1" t="s">
        <x:v>67</x:v>
      </x:c>
      <x:c r="L10" s="1" t="s">
        <x:v>68</x:v>
      </x:c>
      <x:c r="M10" s="1" t="s">
        <x:v>69</x:v>
      </x:c>
      <x:c r="N10" s="1" t="s">
        <x:v>70</x:v>
      </x:c>
    </x:row>
    <x:row r="11" ht="43.5" customHeight="1">
      <x:c r="A11" s="1" t="s">
        <x:v>71</x:v>
      </x:c>
      <x:c r="B11" s="1" t="s">
        <x:v>72</x:v>
      </x:c>
      <x:c r="C11" s="1" t="s">
        <x:v>73</x:v>
      </x:c>
      <x:c r="D11" s="1" t="s">
        <x:v>74</x:v>
      </x:c>
      <x:c r="E11" s="1" t="s">
        <x:v>19</x:v>
      </x:c>
      <x:c r="F11" s="1">
        <x:v>5</x:v>
      </x:c>
      <x:c r="G11" s="1" t="s">
        <x:v>49</x:v>
      </x:c>
      <x:c r="H11" s="1" t="s">
        <x:v>31</x:v>
      </x:c>
      <x:c r="I11" s="1" t="s">
        <x:v>75</x:v>
      </x:c>
      <x:c r="J11" s="1" t="s">
        <x:v>23</x:v>
      </x:c>
      <x:c r="K11" s="1" t="s">
        <x:v>76</x:v>
      </x:c>
      <x:c r="L11" s="1" t="s">
        <x:v>77</x:v>
      </x:c>
      <x:c r="M11" s="1" t="s">
        <x:v>78</x:v>
      </x:c>
      <x:c r="N11" s="1" t="s">
        <x:v>79</x:v>
      </x:c>
    </x:row>
    <x:row r="12" ht="43.5" customHeight="1">
      <x:c r="A12" s="1" t="s">
        <x:v>80</x:v>
      </x:c>
      <x:c r="B12" s="1" t="s">
        <x:v>72</x:v>
      </x:c>
      <x:c r="C12" s="1" t="s">
        <x:v>81</x:v>
      </x:c>
      <x:c r="D12" s="1" t="s">
        <x:v>82</x:v>
      </x:c>
      <x:c r="E12" s="1" t="s">
        <x:v>19</x:v>
      </x:c>
      <x:c r="F12" s="1">
        <x:v>5</x:v>
      </x:c>
      <x:c r="G12" s="1" t="s">
        <x:v>49</x:v>
      </x:c>
      <x:c r="H12" s="1" t="s">
        <x:v>21</x:v>
      </x:c>
      <x:c r="I12" s="1" t="s">
        <x:v>83</x:v>
      </x:c>
      <x:c r="J12" s="1" t="s">
        <x:v>23</x:v>
      </x:c>
      <x:c r="K12" s="1" t="s">
        <x:v>84</x:v>
      </x:c>
      <x:c r="L12" s="1" t="s">
        <x:v>85</x:v>
      </x:c>
      <x:c r="M12" s="1" t="s">
        <x:v>86</x:v>
      </x:c>
      <x:c r="N12" s="1" t="s">
        <x:v>87</x:v>
      </x:c>
    </x:row>
    <x:row r="13" ht="43.5" customHeight="1">
      <x:c r="A13" s="1" t="s">
        <x:v>88</x:v>
      </x:c>
      <x:c r="B13" s="1" t="s">
        <x:v>89</x:v>
      </x:c>
      <x:c r="C13" s="1" t="s">
        <x:v>90</x:v>
      </x:c>
      <x:c r="D13" s="1" t="s">
        <x:v>91</x:v>
      </x:c>
      <x:c r="E13" s="1" t="s">
        <x:v>19</x:v>
      </x:c>
      <x:c r="F13" s="1">
        <x:v>8</x:v>
      </x:c>
      <x:c r="G13" s="1" t="s">
        <x:v>92</x:v>
      </x:c>
      <x:c r="H13" s="1" t="s">
        <x:v>31</x:v>
      </x:c>
      <x:c r="I13" s="1" t="s">
        <x:v>93</x:v>
      </x:c>
      <x:c r="J13" s="1" t="s">
        <x:v>23</x:v>
      </x:c>
      <x:c r="K13" s="1" t="s">
        <x:v>94</x:v>
      </x:c>
      <x:c r="L13" s="1" t="s">
        <x:v>95</x:v>
      </x:c>
      <x:c r="M13" s="1" t="s">
        <x:v>96</x:v>
      </x:c>
      <x:c r="N13" s="1" t="s">
        <x:v>97</x:v>
      </x:c>
    </x:row>
    <x:row r="14" ht="43.5" customHeight="1">
      <x:c r="A14" s="1" t="s">
        <x:v>98</x:v>
      </x:c>
      <x:c r="B14" s="1" t="s">
        <x:v>89</x:v>
      </x:c>
      <x:c r="C14" s="1" t="s">
        <x:v>99</x:v>
      </x:c>
      <x:c r="D14" s="1" t="s">
        <x:v>100</x:v>
      </x:c>
      <x:c r="E14" s="1" t="s">
        <x:v>19</x:v>
      </x:c>
      <x:c r="F14" s="1">
        <x:v>8</x:v>
      </x:c>
      <x:c r="G14" s="1" t="s">
        <x:v>92</x:v>
      </x:c>
      <x:c r="H14" s="1" t="s">
        <x:v>31</x:v>
      </x:c>
      <x:c r="I14" s="1" t="s">
        <x:v>101</x:v>
      </x:c>
      <x:c r="J14" s="1" t="s">
        <x:v>23</x:v>
      </x:c>
      <x:c r="K14" s="1" t="s">
        <x:v>102</x:v>
      </x:c>
      <x:c r="L14" s="1" t="s">
        <x:v>103</x:v>
      </x:c>
      <x:c r="M14" s="1" t="s">
        <x:v>104</x:v>
      </x:c>
      <x:c r="N14" s="1" t="s">
        <x:v>105</x:v>
      </x:c>
    </x:row>
    <x:row r="15" ht="43.5" customHeight="1">
      <x:c r="A15" s="1" t="s">
        <x:v>106</x:v>
      </x:c>
      <x:c r="B15" s="1" t="s">
        <x:v>89</x:v>
      </x:c>
      <x:c r="C15" s="1" t="s">
        <x:v>107</x:v>
      </x:c>
      <x:c r="D15" s="1" t="s">
        <x:v>108</x:v>
      </x:c>
      <x:c r="E15" s="1" t="s">
        <x:v>19</x:v>
      </x:c>
      <x:c r="F15" s="1">
        <x:v>3</x:v>
      </x:c>
      <x:c r="G15" s="1" t="s">
        <x:v>92</x:v>
      </x:c>
      <x:c r="H15" s="1" t="s">
        <x:v>21</x:v>
      </x:c>
      <x:c r="I15" s="1" t="s">
        <x:v>109</x:v>
      </x:c>
      <x:c r="J15" s="1" t="s">
        <x:v>23</x:v>
      </x:c>
      <x:c r="K15" s="1" t="s">
        <x:v>110</x:v>
      </x:c>
      <x:c r="L15" s="1" t="s">
        <x:v>111</x:v>
      </x:c>
      <x:c r="M15" s="1" t="s">
        <x:v>112</x:v>
      </x:c>
      <x:c r="N15" s="1" t="s">
        <x:v>113</x:v>
      </x:c>
    </x:row>
    <x:row r="16" ht="43.5" customHeight="1">
      <x:c r="A16" s="1" t="s">
        <x:v>114</x:v>
      </x:c>
      <x:c r="B16" s="1" t="s">
        <x:v>115</x:v>
      </x:c>
      <x:c r="C16" s="1" t="s">
        <x:v>116</x:v>
      </x:c>
      <x:c r="D16" s="1" t="s">
        <x:v>117</x:v>
      </x:c>
      <x:c r="E16" s="1" t="s">
        <x:v>19</x:v>
      </x:c>
      <x:c r="F16" s="1">
        <x:v>5</x:v>
      </x:c>
      <x:c r="G16" s="1" t="s">
        <x:v>40</x:v>
      </x:c>
      <x:c r="H16" s="1" t="s">
        <x:v>21</x:v>
      </x:c>
      <x:c r="I16" s="1" t="s">
        <x:v>118</x:v>
      </x:c>
      <x:c r="J16" s="1" t="s">
        <x:v>23</x:v>
      </x:c>
      <x:c r="K16" s="1" t="s">
        <x:v>119</x:v>
      </x:c>
      <x:c r="L16" s="1" t="s">
        <x:v>120</x:v>
      </x:c>
      <x:c r="M16" s="1" t="s">
        <x:v>121</x:v>
      </x:c>
      <x:c r="N16" s="1" t="s">
        <x:v>122</x:v>
      </x:c>
    </x:row>
    <x:row r="17" ht="43.5" customHeight="1">
      <x:c r="A17" s="1" t="s">
        <x:v>123</x:v>
      </x:c>
      <x:c r="B17" s="1" t="s">
        <x:v>115</x:v>
      </x:c>
      <x:c r="C17" s="1" t="s">
        <x:v>124</x:v>
      </x:c>
      <x:c r="D17" s="1" t="s">
        <x:v>125</x:v>
      </x:c>
      <x:c r="E17" s="1" t="s">
        <x:v>19</x:v>
      </x:c>
      <x:c r="F17" s="1">
        <x:v>5</x:v>
      </x:c>
      <x:c r="G17" s="1" t="s">
        <x:v>40</x:v>
      </x:c>
      <x:c r="H17" s="1" t="s">
        <x:v>21</x:v>
      </x:c>
      <x:c r="I17" s="1" t="s">
        <x:v>126</x:v>
      </x:c>
      <x:c r="J17" s="1" t="s">
        <x:v>23</x:v>
      </x:c>
      <x:c r="K17" s="1" t="s">
        <x:v>127</x:v>
      </x:c>
      <x:c r="L17" s="1" t="s">
        <x:v>128</x:v>
      </x:c>
      <x:c r="M17" s="1" t="s">
        <x:v>129</x:v>
      </x:c>
      <x:c r="N17" s="1" t="s">
        <x:v>130</x:v>
      </x:c>
    </x:row>
    <x:row r="18" ht="43.5" customHeight="1">
      <x:c r="A18" s="1" t="s">
        <x:v>131</x:v>
      </x:c>
      <x:c r="B18" s="1" t="s">
        <x:v>132</x:v>
      </x:c>
      <x:c r="C18" s="1" t="s">
        <x:v>133</x:v>
      </x:c>
      <x:c r="D18" s="1" t="s">
        <x:v>134</x:v>
      </x:c>
      <x:c r="E18" s="1" t="s">
        <x:v>19</x:v>
      </x:c>
      <x:c r="F18" s="1">
        <x:v>8</x:v>
      </x:c>
      <x:c r="G18" s="1" t="s">
        <x:v>40</x:v>
      </x:c>
      <x:c r="H18" s="1" t="s">
        <x:v>31</x:v>
      </x:c>
      <x:c r="I18" s="1" t="s">
        <x:v>135</x:v>
      </x:c>
      <x:c r="J18" s="1" t="s">
        <x:v>23</x:v>
      </x:c>
      <x:c r="K18" s="1" t="s">
        <x:v>136</x:v>
      </x:c>
      <x:c r="L18" s="1" t="s">
        <x:v>137</x:v>
      </x:c>
      <x:c r="M18" s="1" t="s">
        <x:v>138</x:v>
      </x:c>
      <x:c r="N18" s="1" t="s">
        <x:v>139</x:v>
      </x:c>
    </x:row>
    <x:row r="19" ht="43.5" customHeight="1">
      <x:c r="A19" s="1" t="s">
        <x:v>140</x:v>
      </x:c>
      <x:c r="B19" s="1" t="s">
        <x:v>132</x:v>
      </x:c>
      <x:c r="C19" s="1" t="s">
        <x:v>141</x:v>
      </x:c>
      <x:c r="D19" s="1" t="s">
        <x:v>142</x:v>
      </x:c>
      <x:c r="E19" s="1" t="s">
        <x:v>19</x:v>
      </x:c>
      <x:c r="F19" s="1">
        <x:v>5</x:v>
      </x:c>
      <x:c r="G19" s="1" t="s">
        <x:v>40</x:v>
      </x:c>
      <x:c r="H19" s="1" t="s">
        <x:v>21</x:v>
      </x:c>
      <x:c r="I19" s="1" t="s">
        <x:v>143</x:v>
      </x:c>
      <x:c r="J19" s="1" t="s">
        <x:v>23</x:v>
      </x:c>
      <x:c r="K19" s="1" t="s">
        <x:v>144</x:v>
      </x:c>
      <x:c r="L19" s="1" t="s">
        <x:v>145</x:v>
      </x:c>
      <x:c r="M19" s="1" t="s">
        <x:v>146</x:v>
      </x:c>
      <x:c r="N19" s="1" t="s">
        <x:v>147</x:v>
      </x:c>
    </x:row>
    <x:row r="20" ht="43.5" customHeight="1">
      <x:c r="A20" s="1" t="s">
        <x:v>148</x:v>
      </x:c>
      <x:c r="B20" s="1" t="s">
        <x:v>149</x:v>
      </x:c>
      <x:c r="C20" s="1" t="s">
        <x:v>150</x:v>
      </x:c>
      <x:c r="D20" s="1" t="s">
        <x:v>151</x:v>
      </x:c>
      <x:c r="E20" s="1" t="s">
        <x:v>19</x:v>
      </x:c>
      <x:c r="F20" s="1">
        <x:v>8</x:v>
      </x:c>
      <x:c r="G20" s="1" t="s">
        <x:v>92</x:v>
      </x:c>
      <x:c r="H20" s="1" t="s">
        <x:v>31</x:v>
      </x:c>
      <x:c r="I20" s="1" t="s">
        <x:v>152</x:v>
      </x:c>
      <x:c r="J20" s="1" t="s">
        <x:v>23</x:v>
      </x:c>
      <x:c r="K20" s="1" t="s">
        <x:v>153</x:v>
      </x:c>
      <x:c r="L20" s="1" t="s">
        <x:v>154</x:v>
      </x:c>
      <x:c r="M20" s="1" t="s">
        <x:v>155</x:v>
      </x:c>
      <x:c r="N20" s="1" t="s">
        <x:v>156</x:v>
      </x:c>
    </x:row>
    <x:row r="21" ht="43.5" customHeight="1">
      <x:c r="A21" s="1" t="s">
        <x:v>157</x:v>
      </x:c>
      <x:c r="B21" s="1" t="s">
        <x:v>158</x:v>
      </x:c>
      <x:c r="C21" s="1" t="s">
        <x:v>159</x:v>
      </x:c>
      <x:c r="D21" s="1" t="s">
        <x:v>160</x:v>
      </x:c>
      <x:c r="E21" s="1" t="s">
        <x:v>19</x:v>
      </x:c>
      <x:c r="F21" s="1">
        <x:v>3</x:v>
      </x:c>
      <x:c r="G21" s="1" t="s">
        <x:v>49</x:v>
      </x:c>
      <x:c r="H21" s="1" t="s">
        <x:v>161</x:v>
      </x:c>
      <x:c r="I21" s="1" t="s">
        <x:v>162</x:v>
      </x:c>
      <x:c r="J21" s="1" t="s">
        <x:v>163</x:v>
      </x:c>
      <x:c r="K21" s="1" t="s">
        <x:v>164</x:v>
      </x:c>
      <x:c r="L21" s="1" t="s">
        <x:v>165</x:v>
      </x:c>
      <x:c r="M21" s="1" t="s">
        <x:v>166</x:v>
      </x:c>
      <x:c r="N21" s="1" t="s">
        <x:v>167</x:v>
      </x:c>
    </x:row>
    <x:row r="22" ht="43.5" customHeight="1">
      <x:c r="A22" s="1" t="s">
        <x:v>168</x:v>
      </x:c>
      <x:c r="B22" s="1" t="s">
        <x:v>115</x:v>
      </x:c>
      <x:c r="C22" s="1" t="s">
        <x:v>169</x:v>
      </x:c>
      <x:c r="D22" s="1" t="s">
        <x:v>170</x:v>
      </x:c>
      <x:c r="E22" s="1" t="s">
        <x:v>19</x:v>
      </x:c>
      <x:c r="F22" s="1">
        <x:v>8</x:v>
      </x:c>
      <x:c r="G22" s="1" t="s">
        <x:v>92</x:v>
      </x:c>
      <x:c r="H22" s="1" t="s">
        <x:v>21</x:v>
      </x:c>
      <x:c r="I22" s="1" t="s">
        <x:v>171</x:v>
      </x:c>
      <x:c r="J22" s="1" t="s">
        <x:v>163</x:v>
      </x:c>
      <x:c r="K22" s="1" t="s">
        <x:v>172</x:v>
      </x:c>
      <x:c r="L22" s="1" t="s">
        <x:v>173</x:v>
      </x:c>
      <x:c r="M22" s="1" t="s">
        <x:v>174</x:v>
      </x:c>
      <x:c r="N22" s="1" t="s">
        <x:v>175</x:v>
      </x:c>
    </x:row>
    <x:row r="23" ht="43.5" customHeight="1">
      <x:c r="A23" s="1" t="s">
        <x:v>176</x:v>
      </x:c>
      <x:c r="B23" s="1" t="s">
        <x:v>177</x:v>
      </x:c>
      <x:c r="C23" s="1" t="s">
        <x:v>178</x:v>
      </x:c>
      <x:c r="D23" s="1" t="s">
        <x:v>179</x:v>
      </x:c>
      <x:c r="E23" s="1" t="s">
        <x:v>19</x:v>
      </x:c>
      <x:c r="F23" s="1">
        <x:v>5</x:v>
      </x:c>
      <x:c r="G23" s="1" t="s">
        <x:v>180</x:v>
      </x:c>
      <x:c r="H23" s="1" t="s">
        <x:v>161</x:v>
      </x:c>
      <x:c r="I23" s="1" t="s">
        <x:v>181</x:v>
      </x:c>
      <x:c r="J23" s="1" t="s">
        <x:v>163</x:v>
      </x:c>
      <x:c r="K23" s="1" t="s">
        <x:v>182</x:v>
      </x:c>
      <x:c r="L23" s="1" t="s">
        <x:v>183</x:v>
      </x:c>
      <x:c r="M23" s="1" t="s">
        <x:v>184</x:v>
      </x:c>
      <x:c r="N23" s="1" t="s">
        <x:v>185</x:v>
      </x:c>
    </x:row>
    <x:row r="24" ht="43.5" customHeight="1">
      <x:c r="A24" s="12" t="s">
        <x:v>186</x:v>
      </x:c>
      <x:c r="B24" s="12" t="s">
        <x:v>187</x:v>
      </x:c>
      <x:c r="C24" s="12" t="s">
        <x:v>188</x:v>
      </x:c>
      <x:c r="D24" s="12" t="s">
        <x:v>189</x:v>
      </x:c>
      <x:c r="E24" s="12" t="s">
        <x:v>19</x:v>
      </x:c>
      <x:c r="F24" s="12">
        <x:v>5</x:v>
      </x:c>
      <x:c r="G24" s="12" t="s">
        <x:v>180</x:v>
      </x:c>
      <x:c r="H24" s="12" t="s">
        <x:v>21</x:v>
      </x:c>
      <x:c r="I24" s="12" t="s">
        <x:v>190</x:v>
      </x:c>
      <x:c r="J24" s="12" t="s">
        <x:v>163</x:v>
      </x:c>
      <x:c r="K24" s="12" t="s">
        <x:v>191</x:v>
      </x:c>
      <x:c r="L24" s="12" t="s">
        <x:v>192</x:v>
      </x:c>
      <x:c r="M24" s="12" t="s">
        <x:v>193</x:v>
      </x:c>
      <x:c r="N24" s="12" t="s">
        <x:v>194</x:v>
      </x:c>
    </x:row>
    <x:row r="25" ht="67.5" customHeight="1">
      <x:c r="A25" s="10" t="s">
        <x:v>195</x:v>
      </x:c>
      <x:c r="B25" s="10" t="s">
        <x:v>72</x:v>
      </x:c>
      <x:c r="C25" s="10" t="s">
        <x:v>196</x:v>
      </x:c>
      <x:c r="D25" s="10" t="s">
        <x:v>197</x:v>
      </x:c>
      <x:c r="E25" s="12" t="s">
        <x:v>19</x:v>
      </x:c>
      <x:c r="F25" s="10" t="s">
        <x:v>198</x:v>
      </x:c>
      <x:c r="G25" s="10" t="s">
        <x:v>49</x:v>
      </x:c>
      <x:c r="H25" s="10" t="s">
        <x:v>21</x:v>
      </x:c>
      <x:c r="I25" s="10" t="s">
        <x:v>199</x:v>
      </x:c>
      <x:c r="J25" s="10" t="s">
        <x:v>23</x:v>
      </x:c>
      <x:c r="K25" s="10" t="s">
        <x:v>200</x:v>
      </x:c>
      <x:c r="L25" s="10" t="s">
        <x:v>201</x:v>
      </x:c>
      <x:c r="M25" s="10" t="s">
        <x:v>202</x:v>
      </x:c>
      <x:c r="N25" s="10" t="s">
        <x:v>203</x:v>
      </x:c>
    </x:row>
    <x:row r="26" ht="70.5" customHeight="1">
      <x:c r="A26" s="10" t="s">
        <x:v>204</x:v>
      </x:c>
      <x:c r="B26" s="10" t="s">
        <x:v>89</x:v>
      </x:c>
      <x:c r="C26" s="10" t="s">
        <x:v>205</x:v>
      </x:c>
      <x:c r="D26" s="10" t="s">
        <x:v>206</x:v>
      </x:c>
      <x:c r="E26" s="12" t="s">
        <x:v>19</x:v>
      </x:c>
      <x:c r="F26" s="10" t="s">
        <x:v>198</x:v>
      </x:c>
      <x:c r="G26" s="10" t="s">
        <x:v>92</x:v>
      </x:c>
      <x:c r="H26" s="10" t="s">
        <x:v>31</x:v>
      </x:c>
      <x:c r="I26" s="10" t="s">
        <x:v>207</x:v>
      </x:c>
      <x:c r="J26" s="10" t="s">
        <x:v>23</x:v>
      </x:c>
      <x:c r="K26" s="10" t="s">
        <x:v>208</x:v>
      </x:c>
      <x:c r="L26" s="10" t="s">
        <x:v>209</x:v>
      </x:c>
      <x:c r="M26" s="10" t="s">
        <x:v>210</x:v>
      </x:c>
      <x:c r="N26" s="10" t="s">
        <x:v>211</x:v>
      </x:c>
    </x:row>
    <x:row r="27" ht="69.94999694824219" customHeight="1">
      <x:c r="A27" s="43" t="s">
        <x:v>212</x:v>
      </x:c>
      <x:c r="B27" s="13" t="s">
        <x:v>213</x:v>
      </x:c>
      <x:c r="C27" s="13" t="s">
        <x:v>214</x:v>
      </x:c>
      <x:c r="D27" s="13" t="s">
        <x:v>215</x:v>
      </x:c>
      <x:c r="E27" s="12" t="s">
        <x:v>19</x:v>
      </x:c>
      <x:c r="F27" s="13" t="s">
        <x:v>198</x:v>
      </x:c>
      <x:c r="G27" s="13" t="s">
        <x:v>92</x:v>
      </x:c>
      <x:c r="H27" s="13" t="s">
        <x:v>31</x:v>
      </x:c>
      <x:c r="I27" s="13" t="s">
        <x:v>216</x:v>
      </x:c>
      <x:c r="J27" s="13" t="s">
        <x:v>23</x:v>
      </x:c>
      <x:c r="K27" s="13" t="s">
        <x:v>217</x:v>
      </x:c>
      <x:c r="L27" s="13" t="s">
        <x:v>218</x:v>
      </x:c>
      <x:c r="M27" s="13" t="s">
        <x:v>219</x:v>
      </x:c>
      <x:c r="N27" s="13" t="s">
        <x:v>220</x:v>
      </x:c>
    </x:row>
    <x:row r="28" ht="69.94999694824219" customHeight="1">
      <x:c r="A28" s="11" t="s">
        <x:v>221</x:v>
      </x:c>
      <x:c r="B28" s="11" t="s">
        <x:v>222</x:v>
      </x:c>
      <x:c r="C28" s="11" t="s">
        <x:v>223</x:v>
      </x:c>
      <x:c r="D28" s="11" t="s">
        <x:v>224</x:v>
      </x:c>
      <x:c r="E28" s="12" t="s">
        <x:v>19</x:v>
      </x:c>
      <x:c r="F28" s="11" t="s">
        <x:v>198</x:v>
      </x:c>
      <x:c r="G28" s="11" t="s">
        <x:v>92</x:v>
      </x:c>
      <x:c r="H28" s="11" t="s">
        <x:v>21</x:v>
      </x:c>
      <x:c r="I28" s="11" t="s">
        <x:v>225</x:v>
      </x:c>
      <x:c r="J28" s="11" t="s">
        <x:v>23</x:v>
      </x:c>
      <x:c r="K28" s="11" t="s">
        <x:v>226</x:v>
      </x:c>
      <x:c r="L28" s="11" t="s">
        <x:v>227</x:v>
      </x:c>
      <x:c r="M28" s="11" t="s">
        <x:v>228</x:v>
      </x:c>
      <x:c r="N28" s="11" t="s">
        <x:v>229</x:v>
      </x:c>
    </x:row>
    <x:row r="29" ht="84.75" customHeight="1">
      <x:c r="A29" s="10" t="s">
        <x:v>230</x:v>
      </x:c>
      <x:c r="B29" s="10" t="s">
        <x:v>149</x:v>
      </x:c>
      <x:c r="C29" s="10" t="s">
        <x:v>231</x:v>
      </x:c>
      <x:c r="D29" s="10" t="s">
        <x:v>232</x:v>
      </x:c>
      <x:c r="E29" s="12" t="s">
        <x:v>19</x:v>
      </x:c>
      <x:c r="F29" s="10" t="s">
        <x:v>198</x:v>
      </x:c>
      <x:c r="G29" s="10" t="s">
        <x:v>180</x:v>
      </x:c>
      <x:c r="H29" s="10" t="s">
        <x:v>31</x:v>
      </x:c>
      <x:c r="I29" s="10" t="s">
        <x:v>233</x:v>
      </x:c>
      <x:c r="J29" s="10" t="s">
        <x:v>23</x:v>
      </x:c>
      <x:c r="K29" s="10" t="s">
        <x:v>234</x:v>
      </x:c>
      <x:c r="L29" s="10" t="s">
        <x:v>235</x:v>
      </x:c>
      <x:c r="M29" s="10" t="s">
        <x:v>236</x:v>
      </x:c>
      <x:c r="N29" s="10" t="s">
        <x:v>237</x:v>
      </x:c>
    </x:row>
    <x:row r="30" ht="87.75" customHeight="1">
      <x:c r="A30" s="10" t="s">
        <x:v>238</x:v>
      </x:c>
      <x:c r="B30" s="10" t="s">
        <x:v>37</x:v>
      </x:c>
      <x:c r="C30" s="10" t="s">
        <x:v>239</x:v>
      </x:c>
      <x:c r="D30" s="10" t="s">
        <x:v>240</x:v>
      </x:c>
      <x:c r="E30" s="12" t="s">
        <x:v>19</x:v>
      </x:c>
      <x:c r="F30" s="10" t="s">
        <x:v>198</x:v>
      </x:c>
      <x:c r="G30" s="10" t="s">
        <x:v>180</x:v>
      </x:c>
      <x:c r="H30" s="10" t="s">
        <x:v>21</x:v>
      </x:c>
      <x:c r="I30" s="10" t="s">
        <x:v>41</x:v>
      </x:c>
      <x:c r="J30" s="10" t="s">
        <x:v>23</x:v>
      </x:c>
      <x:c r="K30" s="10" t="s">
        <x:v>241</x:v>
      </x:c>
      <x:c r="L30" s="10" t="s">
        <x:v>242</x:v>
      </x:c>
      <x:c r="M30" s="10" t="s">
        <x:v>243</x:v>
      </x:c>
      <x:c r="N30" s="10" t="s">
        <x:v>244</x:v>
      </x:c>
    </x:row>
    <x:row r="31" ht="69" customHeight="1">
      <x:c r="A31" s="32" t="s">
        <x:v>245</x:v>
      </x:c>
      <x:c r="B31" s="32" t="s">
        <x:v>246</x:v>
      </x:c>
      <x:c r="C31" s="32" t="s">
        <x:v>247</x:v>
      </x:c>
      <x:c r="D31" s="32" t="s">
        <x:v>248</x:v>
      </x:c>
      <x:c r="E31" s="12" t="s">
        <x:v>19</x:v>
      </x:c>
      <x:c r="F31" s="32" t="s">
        <x:v>198</x:v>
      </x:c>
      <x:c r="G31" s="32" t="s">
        <x:v>180</x:v>
      </x:c>
      <x:c r="H31" s="32" t="s">
        <x:v>21</x:v>
      </x:c>
      <x:c r="I31" s="32" t="s">
        <x:v>249</x:v>
      </x:c>
      <x:c r="J31" s="32" t="s">
        <x:v>163</x:v>
      </x:c>
      <x:c r="K31" s="32" t="s">
        <x:v>250</x:v>
      </x:c>
      <x:c r="L31" s="32" t="s">
        <x:v>251</x:v>
      </x:c>
      <x:c r="M31" s="32" t="s">
        <x:v>252</x:v>
      </x:c>
      <x:c r="N31" s="32" t="s">
        <x:v>253</x:v>
      </x:c>
    </x:row>
    <x:row r="32" ht="63" customHeight="1">
      <x:c r="A32" s="10" t="s">
        <x:v>254</x:v>
      </x:c>
      <x:c r="B32" s="10" t="s">
        <x:v>246</x:v>
      </x:c>
      <x:c r="C32" s="10" t="s">
        <x:v>255</x:v>
      </x:c>
      <x:c r="D32" s="10" t="s">
        <x:v>256</x:v>
      </x:c>
      <x:c r="E32" s="12" t="s">
        <x:v>19</x:v>
      </x:c>
      <x:c r="F32" s="10" t="s">
        <x:v>198</x:v>
      </x:c>
      <x:c r="G32" s="10" t="s">
        <x:v>180</x:v>
      </x:c>
      <x:c r="H32" s="10" t="s">
        <x:v>31</x:v>
      </x:c>
      <x:c r="I32" s="10" t="s">
        <x:v>257</x:v>
      </x:c>
      <x:c r="J32" s="10" t="s">
        <x:v>163</x:v>
      </x:c>
      <x:c r="K32" s="10" t="s">
        <x:v>258</x:v>
      </x:c>
      <x:c r="L32" s="10" t="s">
        <x:v>259</x:v>
      </x:c>
      <x:c r="M32" s="10" t="s">
        <x:v>260</x:v>
      </x:c>
      <x:c r="N32" s="10" t="s">
        <x:v>261</x:v>
      </x:c>
    </x:row>
    <x:row r="33" ht="55.5" customHeight="1">
      <x:c r="A33" s="10" t="s">
        <x:v>262</x:v>
      </x:c>
      <x:c r="B33" s="10" t="s">
        <x:v>246</x:v>
      </x:c>
      <x:c r="C33" s="10" t="s">
        <x:v>263</x:v>
      </x:c>
      <x:c r="D33" s="10" t="s">
        <x:v>264</x:v>
      </x:c>
      <x:c r="E33" s="42" t="s">
        <x:v>19</x:v>
      </x:c>
      <x:c r="F33" s="10" t="s">
        <x:v>198</x:v>
      </x:c>
      <x:c r="G33" s="10" t="s">
        <x:v>180</x:v>
      </x:c>
      <x:c r="H33" s="10" t="s">
        <x:v>21</x:v>
      </x:c>
      <x:c r="I33" s="10" t="s">
        <x:v>265</x:v>
      </x:c>
      <x:c r="J33" s="10" t="s">
        <x:v>163</x:v>
      </x:c>
      <x:c r="K33" s="10" t="s">
        <x:v>266</x:v>
      </x:c>
      <x:c r="L33" s="10" t="s">
        <x:v>267</x:v>
      </x:c>
      <x:c r="M33" s="10" t="s">
        <x:v>268</x:v>
      </x:c>
      <x:c r="N33" s="10" t="s">
        <x:v>269</x:v>
      </x:c>
    </x:row>
    <x:row r="34" ht="60" hidden="0" customHeight="1">
      <x:c r="A34" s="90" t="str">
        <x:v>HU-030</x:v>
      </x:c>
      <x:c r="B34" s="90" t="str">
        <x:v>Desktop institucional</x:v>
      </x:c>
      <x:c r="C34" s="90" t="str">
        <x:v>Como administrador institucional autorizado, quiero gestionar profesionales desde CitaJusta Desktop, para mantener perfiles y asociaciones de atención desde la aplicación institucional.</x:v>
      </x:c>
      <x:c r="D34" s="90" t="str">
        <x:v>Gestionar profesionales desde Desktop</x:v>
      </x:c>
      <x:c r="E34" s="90" t="str">
        <x:v>Done</x:v>
      </x:c>
      <x:c r="F34" s="90" t="str">
        <x:v>Por estimar</x:v>
      </x:c>
      <x:c r="G34" s="90" t="str">
        <x:v>Sprint 7</x:v>
      </x:c>
      <x:c r="H34" s="90" t="str">
        <x:v>Alta</x:v>
      </x:c>
      <x:c r="I34" s="90" t="str">
        <x:v>HU-013 Desktop / RBAC administrativo</x:v>
      </x:c>
      <x:c r="J34" s="90" t="str">
        <x:v>Objetivo</x:v>
      </x:c>
      <x:c r="K34" s="90" t="str">
        <x:v>La lista administrativa respeta institución y permisos. • El alta parte de una cuenta ACTIVE existente obtenida por búsqueda exacta. • La edición conserva userId y permite asociaciones/estado según la API. • Desktop no crea cuentas, credenciales ni roles.</x:v>
      </x:c>
      <x:c r="L34" s="90" t="str">
        <x:v>commit 7fac74a · feat: add desktop professional management</x:v>
      </x:c>
      <x:c r="M34" s="90" t="str">
        <x:v>HU-030 · Done</x:v>
      </x:c>
      <x:c r="N34" s="90" t="str">
        <x:v>Desktop Profesionales reutiliza HU-013 y catálogos reales; lectura/escritura separadas por permisos y validación institucional.</x:v>
      </x:c>
    </x:row>
    <x:row r="35" ht="60" hidden="0" customHeight="1">
      <x:c r="A35" s="90" t="str">
        <x:v>HU-031</x:v>
      </x:c>
      <x:c r="B35" s="90" t="str">
        <x:v>Desktop institucional</x:v>
      </x:c>
      <x:c r="C35" s="90" t="str">
        <x:v>Como funcionario institucional autorizado, quiero consultar la agenda diaria desde CitaJusta Desktop, para gestionar la operación con filtros y contexto real.</x:v>
      </x:c>
      <x:c r="D35" s="90" t="str">
        <x:v>Consultar agenda institucional desde Desktop</x:v>
      </x:c>
      <x:c r="E35" s="90" t="str">
        <x:v>Done</x:v>
      </x:c>
      <x:c r="F35" s="90" t="str">
        <x:v>Por estimar</x:v>
      </x:c>
      <x:c r="G35" s="90" t="str">
        <x:v>Sprint 7</x:v>
      </x:c>
      <x:c r="H35" s="90" t="str">
        <x:v>Alta</x:v>
      </x:c>
      <x:c r="I35" s="90" t="str">
        <x:v>HU-015 Desktop / agenda.read</x:v>
      </x:c>
      <x:c r="J35" s="90" t="str">
        <x:v>Objetivo</x:v>
      </x:c>
      <x:c r="K35" s="90" t="str">
        <x:v>Consulta read-only de GET /api/v1/agenda. • Fecha obligatoria y filtros opcionales de sede, servicio, profesional y estado. • La sede contextual queda fija. • Las horas usan la zona institucional y no se inventan datos ni mutaciones.</x:v>
      </x:c>
      <x:c r="L35" s="90" t="str">
        <x:v>commit 5c60ac9 · feat: add desktop institutional agenda</x:v>
      </x:c>
      <x:c r="M35" s="90" t="str">
        <x:v>HU-031 · Done</x:v>
      </x:c>
      <x:c r="N35" s="90" t="str">
        <x:v>Agenda Desktop reutiliza la API HU-015, catálogos autenticados y protección frente a respuestas obsoletas.</x:v>
      </x:c>
    </x:row>
    <x:row r="36" ht="60" hidden="1" customHeight="1">
      <x:c r="A36" s="90"/>
      <x:c r="B36" s="90"/>
      <x:c r="C36" s="90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</x:row>
    <x:row r="37" ht="60" hidden="1" customHeight="1">
      <x:c r="A37" s="90"/>
      <x:c r="B37" s="90"/>
      <x:c r="C37" s="90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</x:row>
    <x:row r="38" ht="60" hidden="1" customHeight="1">
      <x:c r="A38" s="90"/>
      <x:c r="B38" s="90"/>
      <x:c r="C38" s="90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</x:row>
    <x:row r="39" ht="60" hidden="1" customHeight="1">
      <x:c r="A39" s="90"/>
      <x:c r="B39" s="90"/>
      <x:c r="C39" s="90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</x:row>
    <x:row r="40" ht="60" hidden="0" customHeight="1">
      <x:c r="A40" s="90" t="str">
        <x:v>HU-032</x:v>
      </x:c>
      <x:c r="B40" s="90" t="str">
        <x:v>Desktop institucional</x:v>
      </x:c>
      <x:c r="C40" s="90" t="str">
        <x:v>Como usuario institucional autorizado, quiero consultar y gestionar disponibilidad y bloqueos desde CitaJusta Desktop, para mantener horarios atendibles sin duplicar reglas del backend.</x:v>
      </x:c>
      <x:c r="D40" s="90" t="str">
        <x:v>Gestionar disponibilidad y bloqueos desde Desktop</x:v>
      </x:c>
      <x:c r="E40" s="90" t="str">
        <x:v>Done</x:v>
      </x:c>
      <x:c r="F40" s="90" t="str">
        <x:v>Por estimar</x:v>
      </x:c>
      <x:c r="G40" s="90" t="str">
        <x:v>Sprint 7</x:v>
      </x:c>
      <x:c r="H40" s="90" t="str">
        <x:v>Alta</x:v>
      </x:c>
      <x:c r="I40" s="90" t="str">
        <x:v>HU-014 Desktop / availability.*</x:v>
      </x:c>
      <x:c r="J40" s="90" t="str">
        <x:v>Objetivo</x:v>
      </x:c>
      <x:c r="K40" s="90" t="str">
        <x:v>Permisos independientes para leer, crear, actualizar y bloquear. • Usa la zona horaria institucional. • La sede contextual queda fija. • No edita/elimina bloqueos ni inventa AttentionPoint. • Escrituras reales no se reintentan automáticamente.</x:v>
      </x:c>
      <x:c r="L40" s="90" t="str">
        <x:v>commit 7644892 · feat: add desktop availability management</x:v>
      </x:c>
      <x:c r="M40" s="90" t="str">
        <x:v>HU-032 · Done</x:v>
      </x:c>
      <x:c r="N40" s="90" t="str">
        <x:v>Desktop reutiliza HU-014 y agrega lecturas administrativas controladas para disponibilidad/bloqueos con aislamiento institucional.</x:v>
      </x:c>
    </x:row>
    <x:row r="41" ht="60" hidden="0" customHeight="1">
      <x:c r="A41" s="90" t="str">
        <x:v>HU-033</x:v>
      </x:c>
      <x:c r="B41" s="90" t="str">
        <x:v>Desktop institucional</x:v>
      </x:c>
      <x:c r="C41" s="90" t="str">
        <x:v>Como funcionario o profesional autorizado, quiero registrar asistencia o inasistencia desde CitaJusta Desktop, para mantener actualizado el resultado operativo de las citas.</x:v>
      </x:c>
      <x:c r="D41" s="90" t="str">
        <x:v>Registrar asistencia e inasistencia desde Desktop</x:v>
      </x:c>
      <x:c r="E41" s="90" t="str">
        <x:v>Done</x:v>
      </x:c>
      <x:c r="F41" s="90" t="str">
        <x:v>Por estimar</x:v>
      </x:c>
      <x:c r="G41" s="90" t="str">
        <x:v>Sprint 7</x:v>
      </x:c>
      <x:c r="H41" s="90" t="str">
        <x:v>Alta</x:v>
      </x:c>
      <x:c r="I41" s="90" t="str">
        <x:v>HU-017 Desktop / appointments.attendance</x:v>
      </x:c>
      <x:c r="J41" s="90" t="str">
        <x:v>Objetivo</x:v>
      </x:c>
      <x:c r="K41" s="90" t="str">
        <x:v>La consulta requiere agenda.read y las acciones requieren appointments.attendance. • Sólo citas AGENDADA ofrecen ATENDIDA/INASISTENCIA. • El body contiene únicamente el nuevo estado. • Estados finales o contradictorios no se reabren ni se fuerzan desde la UI.</x:v>
      </x:c>
      <x:c r="L41" s="90" t="str">
        <x:v>commit 511a3dd · feat: add desktop attendance management</x:v>
      </x:c>
      <x:c r="M41" s="90" t="str">
        <x:v>HU-033 · Done</x:v>
      </x:c>
      <x:c r="N41" s="90" t="str">
        <x:v>Asistencia Desktop reutiliza agenda HU-031 y endpoint HU-017; conserva contexto, filtros y feedback controlado.</x:v>
      </x:c>
    </x:row>
    <x:row r="42" ht="60" hidden="0" customHeight="1">
      <x:c r="A42" s="90" t="str">
        <x:v>HU-034</x:v>
      </x:c>
      <x:c r="B42" s="90" t="str">
        <x:v>Desktop institucional</x:v>
      </x:c>
      <x:c r="C42" s="90" t="str">
        <x:v>Como usuario institucional, quiero una interfaz Desktop visualmente consistente y accesible, para operar los módulos reales con navegación y estados claros.</x:v>
      </x:c>
      <x:c r="D42" s="90" t="str">
        <x:v>Modernizar sistema visual institucional Desktop</x:v>
      </x:c>
      <x:c r="E42" s="90" t="str">
        <x:v>Done</x:v>
      </x:c>
      <x:c r="F42" s="90" t="str">
        <x:v>Por estimar</x:v>
      </x:c>
      <x:c r="G42" s="90" t="str">
        <x:v>Sprint 7</x:v>
      </x:c>
      <x:c r="H42" s="90" t="str">
        <x:v>Media</x:v>
      </x:c>
      <x:c r="I42" s="90" t="str">
        <x:v>UX institucional Desktop / transversal</x:v>
      </x:c>
      <x:c r="J42" s="90" t="str">
        <x:v>Objetivo</x:v>
      </x:c>
      <x:c r="K42" s="90" t="str">
        <x:v>Tokens y superficies compartidas. • Navegación agrupa Catálogo, Operación y Análisis. • Inicio utiliza accesos reales y no estadísticas simuladas. • Estados, formularios, teclado y ventana reducida conservan el comportamiento funcional existente.</x:v>
      </x:c>
      <x:c r="L42" s="90" t="str">
        <x:v>feat/desktop-visual-redesign · commit eef2153 · PR #135 · merge 056ba2b</x:v>
      </x:c>
      <x:c r="M42" s="90" t="str">
        <x:v>HU-034 · Done</x:v>
      </x:c>
      <x:c r="N42" s="90" t="str">
        <x:v>Rediseño visual transversal sin cambiar reglas de negocio, permisos ni contratos de API.</x:v>
      </x:c>
    </x:row>
    <x:row r="43" ht="60" hidden="0" customHeight="1">
      <x:c r="A43" s="90" t="str">
        <x:v>HU-035</x:v>
      </x:c>
      <x:c r="B43" s="95" t="str">
        <x:v>Web / Ofertas</x:v>
      </x:c>
      <x:c r="C43" s="96" t="str">
        <x:v>Como usuario Web que recibe ofertas de reasignación, quiero una experiencia más clara y moderna, para comprender su estado y responder con menor fricción.</x:v>
      </x:c>
      <x:c r="D43" s="97" t="str">
        <x:v>Modernizar UX de ofertas de reasignación Web</x:v>
      </x:c>
      <x:c r="E43" s="90" t="str">
        <x:v>Done</x:v>
      </x:c>
      <x:c r="F43" s="90" t="str">
        <x:v>Por estimar</x:v>
      </x:c>
      <x:c r="G43" s="90" t="str">
        <x:v>Sprint 7</x:v>
      </x:c>
      <x:c r="H43" s="90" t="str">
        <x:v>Media</x:v>
      </x:c>
      <x:c r="I43" s="90" t="str">
        <x:v>HU-022 Web / UX ofertas</x:v>
      </x:c>
      <x:c r="J43" s="90" t="str">
        <x:v>Objetivo</x:v>
      </x:c>
      <x:c r="K43" s="90" t="str">
        <x:v>La UI conserva datos y estados reales del backend. • No recalcula ranking ni elegibilidad. • La vigencia usa expiresAt/estado entregado por la API. • Aceptar/rechazar continúa usando los endpoints existentes sin alterar la semántica transaccional.</x:v>
      </x:c>
      <x:c r="L43" s="90" t="str">
        <x:v>feat/web-offers-ux · commit eb3e35a · PR #139 · merge 8d276ac</x:v>
      </x:c>
      <x:c r="M43" s="90" t="str">
        <x:v>HU-035 · Done</x:v>
      </x:c>
      <x:c r="N43" s="90" t="str">
        <x:v>Modernización UX sobre el flujo Web existente; no agrega lógica paralela al motor de reasignación.</x:v>
      </x:c>
    </x:row>
    <x:row r="44" ht="60" hidden="0" customHeight="1">
      <x:c r="A44" s="90" t="str">
        <x:v>HU-036</x:v>
      </x:c>
      <x:c r="B44" s="98" t="str">
        <x:v>Desktop institucional</x:v>
      </x:c>
      <x:c r="C44" s="99" t="str">
        <x:v>Como funcionario autorizado, quiero consultar desde Desktop el detalle de un proceso de reasignación, para supervisar candidatos, ofertas, política y trazabilidad sin alterar el proceso.</x:v>
      </x:c>
      <x:c r="D44" s="100" t="str">
        <x:v>Supervisar reasignaciones desde Desktop</x:v>
      </x:c>
      <x:c r="E44" s="90" t="str">
        <x:v>Done</x:v>
      </x:c>
      <x:c r="F44" s="90" t="str">
        <x:v>Por estimar</x:v>
      </x:c>
      <x:c r="G44" s="90" t="str">
        <x:v>Sprint 7</x:v>
      </x:c>
      <x:c r="H44" s="90" t="str">
        <x:v>Alta</x:v>
      </x:c>
      <x:c r="I44" s="90" t="str">
        <x:v>HU-016 Desktop / reassignments.read</x:v>
      </x:c>
      <x:c r="J44" s="90" t="str">
        <x:v>Objetivo</x:v>
      </x:c>
      <x:c r="K44" s="90" t="str">
        <x:v>Consulta por UUID conocido con reassignments.read y contexto institucional. • Presenta resumen, política, evaluación, candidatos, ofertas y trazabilidad controlada. • Conserva orden/flags del backend. • No genera, acepta, rechaza, expira ni recalcula ofertas.</x:v>
      </x:c>
      <x:c r="L44" s="90" t="str">
        <x:v>feat/desktop-reassignment-supervision · commit 94770f9 · PR #141 · merge d5a5fe5</x:v>
      </x:c>
      <x:c r="M44" s="90" t="str">
        <x:v>HU-036 · Done</x:v>
      </x:c>
      <x:c r="N44" s="90" t="str">
        <x:v>Supervisión Desktop read-only sobre HU-016, sin listado inventado ni inferencias de vigencia.</x:v>
      </x:c>
    </x:row>
    <x:row r="45" ht="60" hidden="0" customHeight="1">
      <x:c r="A45" s="90" t="str">
        <x:v>HU-037</x:v>
      </x:c>
      <x:c r="B45" s="101" t="str">
        <x:v>Desktop institucional</x:v>
      </x:c>
      <x:c r="C45" s="102" t="str">
        <x:v>Como usuario institucional autorizado, quiero consultar indicadores y reportes desde CitaJusta Desktop, para analizar citas, recuperación de cupos y ofertas dentro de mi ámbito.</x:v>
      </x:c>
      <x:c r="D45" s="103" t="str">
        <x:v>Consultar reportes institucionales desde Desktop</x:v>
      </x:c>
      <x:c r="E45" s="90" t="str">
        <x:v>Done</x:v>
      </x:c>
      <x:c r="F45" s="90" t="str">
        <x:v>Por estimar</x:v>
      </x:c>
      <x:c r="G45" s="90" t="str">
        <x:v>Sprint 7</x:v>
      </x:c>
      <x:c r="H45" s="90" t="str">
        <x:v>Media</x:v>
      </x:c>
      <x:c r="I45" s="90" t="str">
        <x:v>HU-019 Desktop / RF-037</x:v>
      </x:c>
      <x:c r="J45" s="90" t="str">
        <x:v>Objetivo</x:v>
      </x:c>
      <x:c r="K45" s="90" t="str">
        <x:v>Requiere reports.read y contexto institucional. • Desde/Hasta son fechas civiles inclusivas de 1 a 366 días. • Sede, servicio y profesional son filtros opcionales. • Muestra los diez valores entregados por la API, incluidos ceros, sin inventar series, tendencias ni totales.</x:v>
      </x:c>
      <x:c r="L45" s="90" t="str">
        <x:v>feat/desktop-reports · commit 8d3bb26 · PR #143 · merge cb445ca</x:v>
      </x:c>
      <x:c r="M45" s="90" t="str">
        <x:v>HU-037 · Done</x:v>
      </x:c>
      <x:c r="N45" s="90" t="str">
        <x:v>Reportes Desktop consume GET /api/v1/reports/indicators; catálogos auxiliares no bloquean una consulta por período.</x:v>
      </x:c>
    </x:row>
    <x:row r="46" ht="60" hidden="0" customHeight="1">
      <x:c r="A46" s="90" t="str">
        <x:v>HU-038</x:v>
      </x:c>
      <x:c r="B46" s="90" t="str">
        <x:v>Desktop institucional / Auditoría</x:v>
      </x:c>
      <x:c r="C46" s="90" t="str">
        <x:v>Como auditor autorizado, quiero consultar desde CitaJusta Desktop la bitácora de operaciones relevantes de mi ámbito institucional, para reconstruir qué ocurrió, cuándo, por quién o por el sistema y sobre qué recurso, sin alterar los eventos registrados.</x:v>
      </x:c>
      <x:c r="D46" s="90" t="str">
        <x:v>Consultar auditoría institucional desde Desktop</x:v>
      </x:c>
      <x:c r="E46" s="90" t="str">
        <x:v>Done</x:v>
      </x:c>
      <x:c r="F46" s="90" t="str">
        <x:v>Por estimar</x:v>
      </x:c>
      <x:c r="G46" s="90" t="str">
        <x:v>Sprint 7</x:v>
      </x:c>
      <x:c r="H46" s="90" t="str">
        <x:v>Alta</x:v>
      </x:c>
      <x:c r="I46" s="90" t="str">
        <x:v>HU-020 Desktop / RF-036</x:v>
      </x:c>
      <x:c r="J46" s="90" t="str">
        <x:v>Objetivo</x:v>
      </x:c>
      <x:c r="K46" s="90" t="str">
        <x:v>Requiere audit.read y contexto institucional. • Filtros opcionales por fechas civiles, sede, actor, acción y recurso. • Vista exclusivamente read-only. • Paginación por cursor opaco con Cargar más, deduplicación y descarte de respuestas obsoletas. • No expone payloads, secretos ni datos inventados.</x:v>
      </x:c>
      <x:c r="L46" s="90" t="str">
        <x:v>feat/desktop-audit · commit bbd6a14 · PR #147 · merge 5cc91d5</x:v>
      </x:c>
      <x:c r="M46" s="90" t="str">
        <x:v>HU-038 · Done</x:v>
      </x:c>
      <x:c r="N46" s="90" t="str">
        <x:v>Auditoría Desktop validada manualmente con filtros, trazabilidad y paginación; backend HU-020 no fue modificado.</x:v>
      </x:c>
    </x:row>
    <x:row r="47" ht="60" hidden="0" customHeight="1">
      <x:c r="A47" s="90" t="str">
        <x:v>HU-039</x:v>
      </x:c>
      <x:c r="B47" s="90" t="str">
        <x:v>Integraciones externas</x:v>
      </x:c>
      <x:c r="C47" s="90" t="str">
        <x:v>Como usuario de CitaJusta, quiero recibir correos transaccionales sobre eventos relevantes de mis citas y reasignaciones, para mantenerme informado también fuera de la aplicación.</x:v>
      </x:c>
      <x:c r="D47" s="90" t="str">
        <x:v>Enviar correo transaccional con Resend</x:v>
      </x:c>
      <x:c r="E47" s="90" t="str">
        <x:v>Pendiente</x:v>
      </x:c>
      <x:c r="F47" s="90" t="str">
        <x:v>Por estimar</x:v>
      </x:c>
      <x:c r="G47" s="90" t="str">
        <x:v>Sprint 8</x:v>
      </x:c>
      <x:c r="H47" s="90" t="str">
        <x:v>Alta</x:v>
      </x:c>
      <x:c r="I47" s="90" t="str">
        <x:v>RF-039</x:v>
      </x:c>
      <x:c r="J47" s="90" t="str">
        <x:v>Objetivo</x:v>
      </x:c>
      <x:c r="K47" s="90" t="str">
        <x:v>El backend integra Resend mediante una frontera de proveedor controlada. • Los correos cubren eventos transaccionales priorizados como confirmaciones, cancelaciones y reasignaciones/ofertas. • No se exponen secretos. • Un fallo de entrega no altera el estado de negocio ya persistido.</x:v>
      </x:c>
      <x:c r="L47" s="90" t="str">
        <x:v>Planificada · Resend</x:v>
      </x:c>
      <x:c r="M47" s="90" t="str">
        <x:v>Pendiente de crear/refinar</x:v>
      </x:c>
      <x:c r="N47" s="90" t="str">
        <x:v>Primera integración externa priorizada. Debe reutilizar eventos/notificaciones existentes sin convertir al proveedor en fuente de verdad.</x:v>
      </x:c>
    </x:row>
    <x:row r="48" ht="60" customHeight="1">
      <x:c r="A48" s="90" t="str">
        <x:v>HU-040</x:v>
      </x:c>
      <x:c r="B48" s="90" t="str">
        <x:v>Integraciones externas</x:v>
      </x:c>
      <x:c r="C48" s="90" t="str">
        <x:v>Como usuario, quiero iniciar sesión con mi cuenta Google, para acceder a CitaJusta mediante un método adicional de autenticación.</x:v>
      </x:c>
      <x:c r="D48" s="90" t="str">
        <x:v>Integrar Google OAuth / OpenID Connect</x:v>
      </x:c>
      <x:c r="E48" s="90" t="str">
        <x:v>Pendiente</x:v>
      </x:c>
      <x:c r="F48" s="90" t="str">
        <x:v>Por estimar</x:v>
      </x:c>
      <x:c r="G48" s="90" t="str">
        <x:v>Sprint 8</x:v>
      </x:c>
      <x:c r="H48" s="90" t="str">
        <x:v>Alta</x:v>
      </x:c>
      <x:c r="I48" s="90" t="str">
        <x:v>RF-040</x:v>
      </x:c>
      <x:c r="J48" s="90" t="str">
        <x:v>Objetivo</x:v>
      </x:c>
      <x:c r="K48" s="90" t="str">
        <x:v>Google se incorpora como método adicional y no elimina el login actual. • La identidad OIDC se valida del lado servidor y se vincula de forma controlada a User. • Google no define roles/permisos institucionales. • Tokens y secretos del proveedor no se exponen al cliente ni a logs.</x:v>
      </x:c>
      <x:c r="L48" s="90" t="str">
        <x:v>Planificada · Google OAuth/OIDC</x:v>
      </x:c>
      <x:c r="M48" s="90" t="str">
        <x:v>Pendiente de crear/refinar</x:v>
      </x:c>
      <x:c r="N48" s="90" t="str">
        <x:v>Debe preservar Auth, RBAC y AuthorizationContext existentes y definir una política segura de vinculación de cuentas.</x:v>
      </x:c>
    </x:row>
    <x:row r="49" ht="60" customHeight="1">
      <x:c r="A49" s="104" t="str">
        <x:v>HU-041</x:v>
      </x:c>
      <x:c r="B49" s="105" t="str">
        <x:v>Integraciones externas</x:v>
      </x:c>
      <x:c r="C49" s="105" t="str">
        <x:v>Como usuario con una cita confirmada, quiero agregarla a Google Calendar, para verla junto a mis compromisos personales.</x:v>
      </x:c>
      <x:c r="D49" s="105" t="str">
        <x:v>Agregar cita a Google Calendar</x:v>
      </x:c>
      <x:c r="E49" s="105" t="str">
        <x:v>Pendiente</x:v>
      </x:c>
      <x:c r="F49" s="105" t="str">
        <x:v>Por estimar</x:v>
      </x:c>
      <x:c r="G49" s="105" t="str">
        <x:v>Sprint 8</x:v>
      </x:c>
      <x:c r="H49" s="105" t="str">
        <x:v>Media</x:v>
      </x:c>
      <x:c r="I49" s="105" t="str">
        <x:v>RF-041</x:v>
      </x:c>
      <x:c r="J49" s="105" t="str">
        <x:v>Objetivo</x:v>
      </x:c>
      <x:c r="K49" s="105" t="str">
        <x:v>La acción requiere autorización explícita del usuario y sólo opera sobre una cita propia/permitida. • CitaJusta/PostgreSQL sigue siendo la fuente de verdad. • Calendar recibe una representación del evento y no modifica estados de la cita. • Denegación o fallo del proveedor se manejan de forma controlada.</x:v>
      </x:c>
      <x:c r="L49" s="105" t="str">
        <x:v>Planificada · Google Calendar API</x:v>
      </x:c>
      <x:c r="M49" s="105" t="str">
        <x:v>Pendiente de crear/refinar</x:v>
      </x:c>
      <x:c r="N49" s="105" t="str">
        <x:v>Se implementará después de resolver OAuth/OIDC; no se planifica sincronización bidireccional como requisito base.</x:v>
      </x:c>
    </x:row>
    <x:row r="50" ht="60" customHeight="1">
      <x:c r="A50" s="90" t="str">
        <x:v>HU-042</x:v>
      </x:c>
      <x:c r="B50" s="90" t="str">
        <x:v>Integraciones externas</x:v>
      </x:c>
      <x:c r="C50" s="90" t="str">
        <x:v>Como usuario, quiero visualizar la ubicación de la sede y acceder a una ruta en Google Maps, para facilitar mi llegada a la atención.</x:v>
      </x:c>
      <x:c r="D50" s="90" t="str">
        <x:v>Mostrar sede y ruta con Google Maps</x:v>
      </x:c>
      <x:c r="E50" s="90" t="str">
        <x:v>Pendiente</x:v>
      </x:c>
      <x:c r="F50" s="90" t="str">
        <x:v>Por estimar</x:v>
      </x:c>
      <x:c r="G50" s="90" t="str">
        <x:v>Sprint 8</x:v>
      </x:c>
      <x:c r="H50" s="90" t="str">
        <x:v>Media</x:v>
      </x:c>
      <x:c r="I50" s="90" t="str">
        <x:v>RF-042</x:v>
      </x:c>
      <x:c r="J50" s="90" t="str">
        <x:v>Objetivo</x:v>
      </x:c>
      <x:c r="K50" s="90" t="str">
        <x:v>La integración usa únicamente dirección/coordenadas reales de la sede. • No inventa geolocalización si faltan datos. • La UI ofrece ubicación/ruta sin alterar información institucional. • Claves/configuración del proveedor se gestionan por entorno y con restricciones apropiadas.</x:v>
      </x:c>
      <x:c r="L50" s="90" t="str">
        <x:v>Planificada · Google Maps</x:v>
      </x:c>
      <x:c r="M50" s="90" t="str">
        <x:v>Pendiente de crear/refinar</x:v>
      </x:c>
      <x:c r="N50" s="90" t="str">
        <x:v>Branch ya dispone de dirección y coordenadas; antes de integrar Maps se verificará exposición/control de esos datos en los DTO existentes.</x:v>
      </x:c>
    </x:row>
    <x:row r="51" ht="60" customHeight="1">
      <x:c r="A51" s="90" t="str">
        <x:v>HU-043</x:v>
      </x:c>
      <x:c r="B51" s="90" t="str">
        <x:v>Integraciones externas</x:v>
      </x:c>
      <x:c r="C51" s="90" t="str">
        <x:v>Como usuario que haya otorgado consentimiento, quiero recibir avisos seleccionados por WhatsApp, para enterarme oportunamente de eventos de atención.</x:v>
      </x:c>
      <x:c r="D51" s="90" t="str">
        <x:v>Incorporar notificaciones por WhatsApp</x:v>
      </x:c>
      <x:c r="E51" s="90" t="str">
        <x:v>Pendiente</x:v>
      </x:c>
      <x:c r="F51" s="90" t="str">
        <x:v>Por estimar</x:v>
      </x:c>
      <x:c r="G51" s="90" t="str">
        <x:v>Sprint 8</x:v>
      </x:c>
      <x:c r="H51" s="90" t="str">
        <x:v>Media</x:v>
      </x:c>
      <x:c r="I51" s="90" t="str">
        <x:v>RF-043</x:v>
      </x:c>
      <x:c r="J51" s="90" t="str">
        <x:v>Objetivo</x:v>
      </x:c>
      <x:c r="K51" s="90" t="str">
        <x:v>La implementación queda condicionada a proveedor, costos y viabilidad. • Requiere consentimiento y datos de contacto válidos. • Debe respetar reglas/plantillas del proveedor. • Fallos de envío no cambian citas, ofertas ni reasignaciones ya persistidas. • Secretos y credenciales quedan fuera del cliente.</x:v>
      </x:c>
      <x:c r="L51" s="90" t="str">
        <x:v>Planificada · WhatsApp (condicionada)</x:v>
      </x:c>
      <x:c r="M51" s="90" t="str">
        <x:v>Pendiente de crear/refinar</x:v>
      </x:c>
      <x:c r="N51" s="90" t="str">
        <x:v>Integración tentativa: no es dependencia fundamental del proyecto y sólo se implementará tras evaluar proveedor/API, consentimiento, plantillas y costos.</x:v>
      </x:c>
    </x:row>
    <x:row r="52" ht="34" customHeight="1">
      <x:c r="A52"/>
      <x:c r="B52" s="93" t="str">
        <x:v>Nota: HU-001 a HU-020 mantienen sus Story Points históricos (105 SP). HU-021 a HU-043 permanecen Por estimar hasta refinamiento/Planning formal. HU-030 a HU-038 documentan trabajo ya implementado en Sprint 7; HU-039 a HU-043 formalizan integraciones externas planificadas para Sprint 8 y no reescriben retrospectivamente Sprints cerrados.</x:v>
      </x:c>
      <x:c r="C52" s="93"/>
      <x:c r="D52" s="93"/>
      <x:c r="E52" s="93"/>
      <x:c r="F52" s="93"/>
      <x:c r="G52" s="93"/>
      <x:c r="H52" s="93"/>
      <x:c r="I52" s="93"/>
      <x:c r="J52" s="93"/>
      <x:c r="K52" s="93"/>
      <x:c r="L52" s="93"/>
      <x:c r="M52" s="93"/>
      <x:c r="N52" s="93"/>
    </x:row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B52:N52"/>
  </x:mergeCells>
  <x:conditionalFormatting sqref="E5:E33">
    <x:cfRule type="expression" dxfId="2" priority="1">
      <x:formula>E5="Done"</x:formula>
    </x:cfRule>
    <x:cfRule type="expression" dxfId="1" priority="2">
      <x:formula>E5="En progreso"</x:formula>
    </x:cfRule>
    <x:cfRule type="expression" dxfId="0" priority="3">
      <x:formula>E5="Pendiente"</x:formula>
    </x:cfRule>
  </x:conditionalFormatting>
  <x:dataValidations count="5">
    <x:dataValidation type="list" allowBlank="1" sqref="H5:H24">
      <x:formula1>"Crítica,Alta,Media,Baja"</x:formula1>
    </x:dataValidation>
    <x:dataValidation type="custom" allowBlank="1" showDropDown="1" sqref="F5:F24">
      <x:formula1>AND(ISNUMBER(F5),(NOT(OR(NOT(ISERROR(DATEVALUE(F5))), AND(ISNUMBER(F5), LEFT(CELL("format", F5))="D")))))</x:formula1>
    </x:dataValidation>
    <x:dataValidation type="list" allowBlank="1" showDropDown="1" showErrorMessage="1" sqref="J5:J24">
      <x:formula1>"MVP,Objetivo"</x:formula1>
    </x:dataValidation>
    <x:dataValidation type="list" allowBlank="1" showDropDown="1" showErrorMessage="1" sqref="G5:G24">
      <x:formula1>"Sprint 3,Sprint 4,Sprint 5,Sprint 6,Sprint 7"</x:formula1>
    </x:dataValidation>
    <x:dataValidation type="list" allowBlank="1" sqref="E5:E33">
      <x:formula1>"Done,En progreso,Pendiente"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2d9d2d27d64d0c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24" customWidth="1"/>
    <x:col min="2" max="2" width="35.125" customWidth="1"/>
    <x:col min="3" max="3" width="8.625" customWidth="1"/>
    <x:col min="4" max="4" width="10.375" customWidth="1"/>
    <x:col min="5" max="5" width="8.625" customWidth="1"/>
    <x:col min="6" max="6" width="19.125" customWidth="1"/>
  </x:cols>
  <x:sheetData>
    <x:row r="1" ht="57" customHeight="1">
      <x:c r="A1" s="16" t="str">
        <x:v>CITAJUSTA — RESUMEN DEL PRODUCT BACKLOG (ACTUALIZADO 04-10-2026)</x:v>
      </x:c>
      <x:c r="B1" s="17"/>
      <x:c r="C1" s="17"/>
      <x:c r="D1" s="17"/>
      <x:c r="E1" s="17"/>
      <x:c r="F1" s="17"/>
    </x:row>
    <x:row r="3" ht="30">
      <x:c r="A3" s="2" t="s">
        <x:v>270</x:v>
      </x:c>
      <x:c r="B3" s="2" t="s">
        <x:v>271</x:v>
      </x:c>
      <x:c r="C3" s="3"/>
      <x:c r="D3" s="4" t="s">
        <x:v>5</x:v>
      </x:c>
      <x:c r="E3" s="4" t="s">
        <x:v>272</x:v>
      </x:c>
      <x:c r="F3" s="3"/>
    </x:row>
    <x:row r="4">
      <x:c r="A4" s="1" t="s">
        <x:v>273</x:v>
      </x:c>
      <x:c r="B4" s="1" t="n">
        <x:v>43</x:v>
      </x:c>
      <x:c r="C4" s="3"/>
      <x:c r="D4" s="5" t="s">
        <x:v>19</x:v>
      </x:c>
      <x:c r="E4" s="5" t="n">
        <x:f t="shared" ref="E4:E6" si="0">B6</x:f>
        <x:v>38</x:v>
      </x:c>
      <x:c r="F4" s="3"/>
    </x:row>
    <x:row r="5" ht="28.5">
      <x:c r="A5" s="1" t="s">
        <x:v>274</x:v>
      </x:c>
      <x:c r="B5" s="1">
        <x:v>105</x:v>
      </x:c>
      <x:c r="C5" s="3"/>
      <x:c r="D5" s="5" t="s">
        <x:v>275</x:v>
      </x:c>
      <x:c r="E5" s="5" t="n">
        <x:f t="shared" si="0"/>
        <x:v>0</x:v>
      </x:c>
      <x:c r="F5" s="3"/>
    </x:row>
    <x:row r="6">
      <x:c r="A6" s="1" t="s">
        <x:v>19</x:v>
      </x:c>
      <x:c r="B6" s="1" t="n">
        <x:v>38</x:v>
      </x:c>
      <x:c r="C6" s="3"/>
      <x:c r="D6" s="5" t="s">
        <x:v>276</x:v>
      </x:c>
      <x:c r="E6" s="5" t="n">
        <x:f t="shared" si="0"/>
        <x:v>5</x:v>
      </x:c>
      <x:c r="F6" s="3"/>
    </x:row>
    <x:row r="7">
      <x:c r="A7" s="1" t="s">
        <x:v>275</x:v>
      </x:c>
      <x:c r="B7" s="1" t="n">
        <x:v>0</x:v>
      </x:c>
      <x:c r="C7" s="3"/>
      <x:c r="D7" s="3"/>
      <x:c r="E7" s="3"/>
      <x:c r="F7" s="3"/>
    </x:row>
    <x:row r="8">
      <x:c r="A8" s="5" t="s">
        <x:v>276</x:v>
      </x:c>
      <x:c r="B8" s="5" t="n">
        <x:v>5</x:v>
      </x:c>
      <x:c r="C8" s="3"/>
      <x:c r="D8" s="3" t="s">
        <x:v>7</x:v>
      </x:c>
      <x:c r="E8" s="3" t="s">
        <x:v>272</x:v>
      </x:c>
      <x:c r="F8" s="3"/>
    </x:row>
    <x:row r="9" ht="29.25">
      <x:c r="A9" s="5" t="s">
        <x:v>277</x:v>
      </x:c>
      <x:c r="B9" s="5">
        <x:v>105</x:v>
      </x:c>
      <x:c r="C9" s="3"/>
      <x:c r="D9" s="4" t="s">
        <x:v>20</x:v>
      </x:c>
      <x:c r="E9" s="4" t="n">
        <x:v>2</x:v>
      </x:c>
      <x:c r="F9" s="4"/>
    </x:row>
    <x:row r="10">
      <x:c r="A10" s="5" t="s">
        <x:v>278</x:v>
      </x:c>
      <x:c r="B10" s="6">
        <x:v>1</x:v>
      </x:c>
      <x:c r="C10" s="3"/>
      <x:c r="D10" s="5" t="s">
        <x:v>40</x:v>
      </x:c>
      <x:c r="E10" s="5" t="n">
        <x:v>5</x:v>
      </x:c>
      <x:c r="F10" s="5"/>
    </x:row>
    <x:row r="11">
      <x:c r="A11" s="5" t="s">
        <x:v>279</x:v>
      </x:c>
      <x:c r="B11" s="5" t="n">
        <x:v>22</x:v>
      </x:c>
      <x:c r="C11" s="3"/>
      <x:c r="D11" s="5" t="s">
        <x:v>49</x:v>
      </x:c>
      <x:c r="E11" s="5" t="n">
        <x:v>7</x:v>
      </x:c>
      <x:c r="F11" s="5"/>
    </x:row>
    <x:row r="12">
      <x:c r="A12" s="5" t="s">
        <x:v>280</x:v>
      </x:c>
      <x:c r="B12" s="5" t="n">
        <x:v>21</x:v>
      </x:c>
      <x:c r="C12" s="3"/>
      <x:c r="D12" s="5" t="s">
        <x:v>92</x:v>
      </x:c>
      <x:c r="E12" s="5" t="n">
        <x:v>8</x:v>
      </x:c>
      <x:c r="F12" s="5"/>
    </x:row>
    <x:row r="13">
      <x:c r="A13" s="3"/>
      <x:c r="B13" s="3"/>
      <x:c r="C13" s="3"/>
      <x:c r="D13" s="5" t="s">
        <x:v>180</x:v>
      </x:c>
      <x:c r="E13" s="5" t="n">
        <x:v>16</x:v>
      </x:c>
      <x:c r="F13" s="5"/>
    </x:row>
    <x:row r="14">
      <x:c r="A14" s="3"/>
      <x:c r="B14" s="3"/>
      <x:c r="C14" s="3"/>
      <x:c r="D14" s="5" t="str">
        <x:v>Sprint 8</x:v>
      </x:c>
      <x:c r="E14" s="5" t="n">
        <x:v>5</x:v>
      </x:c>
      <x:c r="F14" s="5"/>
    </x:row>
    <x:row r="15" ht="15">
      <x:c r="A15" s="18" t="str">
        <x:v>Notas de actualización</x:v>
      </x:c>
      <x:c r="B15" s="19"/>
      <x:c r="C15" s="3"/>
      <x:c r="D15" s="5" t="str">
        <x:v>Total</x:v>
      </x:c>
      <x:c r="E15" s="5" t="str">
        <x:f t="shared" ref="E15:F15" si="1">""</x:f>
      </x:c>
      <x:c r="F15" s="5" t="str">
        <x:f t="shared" si="1"/>
      </x:c>
    </x:row>
    <x:row r="16" ht="32" customHeight="1">
      <x:c r="A16" s="108" t="str">
        <x:v>• Backend HU-001 a HU-020 permanece Done.
• HU-021 a HU-026 cerraron el MVP Web y HU-035 modernizó la UX de ofertas.
• HU-027 a HU-034 y HU-036 a HU-038 completaron la aplicación institucional Desktop prevista: fundación/autenticación, sedes/servicios, profesionales, agenda, disponibilidad/bloqueos, asistencia, sistema visual, supervisión de reasignaciones, reportes y auditoría.
• Sprint 7 queda cerrado con HU-001 a HU-038 Done.
• HU-039 a HU-043 formalizan Sprint 8: Resend, Google OAuth/OIDC, Google Calendar, Google Maps y WhatsApp condicionado.
• HU-021 a HU-043 mantienen Story Points Por estimar.</x:v>
      </x:c>
      <x:c r="B16" s="109"/>
      <x:c r="C16" s="7"/>
      <x:c r="D16" s="7"/>
      <x:c r="E16" s="7"/>
      <x:c r="F16" s="7"/>
    </x:row>
    <x:row r="17" ht="32" customHeight="1">
      <x:c r="A17" s="110" t="str">
        <x:v>• Backend HU-001 a HU-020 permanece Done.
• HU-021 a HU-026 cerraron el MVP Web y HU-035 modernizó la UX de ofertas.
• HU-027 a HU-034 y HU-036 a HU-038 completaron la aplicación institucional Desktop prevista: fundación/autenticación, sedes/servicios, profesionales, agenda, disponibilidad/bloqueos, asistencia, sistema visual, supervisión de reasignaciones, reportes y auditoría.
• Sprint 7 queda cerrado con HU-001 a HU-038 Done.
• HU-039 a HU-043 formalizan Sprint 8: Resend, Google OAuth/OIDC, Google Calendar, Google Maps y WhatsApp condicionado.
• HU-021 a HU-043 mantienen Story Points Por estimar.</x:v>
      </x:c>
      <x:c r="B17" s="111"/>
      <x:c r="C17" s="7"/>
      <x:c r="D17" s="7"/>
      <x:c r="E17" s="7"/>
      <x:c r="F17" s="7"/>
    </x:row>
    <x:row r="18" ht="32" customHeight="1">
      <x:c r="A18" s="110"/>
      <x:c r="B18" s="111"/>
      <x:c r="C18" s="7"/>
      <x:c r="D18" s="7"/>
      <x:c r="E18" s="7"/>
      <x:c r="F18" s="7"/>
    </x:row>
    <x:row r="19" ht="32" customHeight="1">
      <x:c r="A19" s="110"/>
      <x:c r="B19" s="111"/>
      <x:c r="C19" s="7"/>
      <x:c r="D19" s="7"/>
      <x:c r="E19" s="7"/>
      <x:c r="F19" s="7"/>
    </x:row>
    <x:row r="20" ht="32" customHeight="1">
      <x:c r="A20" s="110"/>
      <x:c r="B20" s="111"/>
      <x:c r="C20" s="7"/>
      <x:c r="D20" s="7"/>
      <x:c r="E20" s="7"/>
      <x:c r="F20" s="7"/>
    </x:row>
    <x:row r="21" ht="32" customHeight="1">
      <x:c r="A21" s="112"/>
      <x:c r="B21" s="113"/>
    </x:row>
    <x:row r="22" ht="24" customHeight="1">
      <x:c r="A22" s="121" t="str">
        <x:v>Último avance técnico incorporado al Backlog</x:v>
      </x:c>
      <x:c r="B22" s="121"/>
      <x:c r="C22" s="121"/>
      <x:c r="D22" s="121"/>
      <x:c r="E22" s="121"/>
    </x:row>
    <x:row r="23" ht="30" customHeight="1">
      <x:c r="A23" s="137" t="str">
        <x:v>HU-038 quedó mergeada a main mediante PR #147 (merge 5cc91d5), cerrando el bloque Desktop institucional de Sprint 7. El siguiente bloque planificado es Sprint 8 de integraciones externas con HU-039 a HU-043. Sprint 9 se reserva para Docker/Compose, OpenAPI, hardening/rendimiento, documentación/evidencias y preparación de defensa.</x:v>
      </x:c>
      <x:c r="B23" s="138"/>
      <x:c r="C23" s="138"/>
      <x:c r="D23" s="138"/>
      <x:c r="E23" s="138"/>
      <x:c r="F23" s="19"/>
    </x:row>
    <x:row r="24" ht="30" customHeight="1">
      <x:c r="A24" s="139" t="str">
        <x:v>HU-038 quedó mergeada a main mediante PR #147 (merge 5cc91d5), cerrando el bloque Desktop institucional de Sprint 7. El siguiente bloque planificado es Sprint 8 de integraciones externas con HU-039 a HU-043. Sprint 9 se reserva para Docker/Compose, OpenAPI, hardening/rendimiento, documentación/evidencias y preparación de defensa.</x:v>
      </x:c>
      <x:c r="B24" s="140"/>
      <x:c r="C24" s="140"/>
      <x:c r="D24" s="140"/>
      <x:c r="E24" s="140"/>
      <x:c r="F24" s="109"/>
    </x:row>
    <x:row r="25" ht="30" customHeight="1">
      <x:c r="A25" s="141"/>
      <x:c r="B25" s="142"/>
      <x:c r="C25" s="142"/>
      <x:c r="D25" s="142"/>
      <x:c r="E25" s="142"/>
      <x:c r="F25" s="111"/>
    </x:row>
    <x:row r="26" ht="28" customHeight="1">
      <x:c r="A26" s="110"/>
      <x:c r="B26" s="90"/>
      <x:c r="C26" s="90"/>
      <x:c r="D26" s="90"/>
      <x:c r="E26" s="90"/>
      <x:c r="F26" s="111"/>
    </x:row>
    <x:row r="27" ht="28" customHeight="1">
      <x:c r="A27" s="112"/>
      <x:c r="B27" s="117"/>
      <x:c r="C27" s="117"/>
      <x:c r="D27" s="117"/>
      <x:c r="E27" s="117"/>
      <x:c r="F27" s="113"/>
    </x:row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5:B15"/>
    <x:mergeCell ref="A16:B21"/>
    <x:mergeCell ref="A22:E22"/>
    <x:mergeCell ref="A23:E25"/>
  </x:mergeCells>
  <x:pageMargins left="0.7" right="0.7" top="0.75" bottom="0.75" header="0.3" footer="0.3"/>
  <x:drawing xmlns:r="http://schemas.openxmlformats.org/officeDocument/2006/relationships" r:id="Rcc9bb9d212604568"/>
</x:worksheet>
</file>