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\Downloads\"/>
    </mc:Choice>
  </mc:AlternateContent>
  <xr:revisionPtr revIDLastSave="0" documentId="13_ncr:1_{B0283C69-72E1-45CA-82DD-B67C8790A5E3}" xr6:coauthVersionLast="47" xr6:coauthVersionMax="47" xr10:uidLastSave="{00000000-0000-0000-0000-000000000000}"/>
  <bookViews>
    <workbookView xWindow="-28920" yWindow="-120" windowWidth="29040" windowHeight="15960" activeTab="1" xr2:uid="{00000000-000D-0000-FFFF-FFFF00000000}"/>
  </bookViews>
  <sheets>
    <sheet name="Product Backlog" sheetId="1" r:id="rId1"/>
    <sheet name="Resu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2" l="1"/>
  <c r="E15" i="2"/>
  <c r="E6" i="2"/>
  <c r="E5" i="2"/>
  <c r="E4" i="2"/>
</calcChain>
</file>

<file path=xl/sharedStrings.xml><?xml version="1.0" encoding="utf-8"?>
<sst xmlns="http://schemas.openxmlformats.org/spreadsheetml/2006/main" count="432" uniqueCount="289">
  <si>
    <t>CITAJUSTA  PRODUCT BACKLOG PRIORIZADO</t>
  </si>
  <si>
    <t>ID</t>
  </si>
  <si>
    <t>Épica</t>
  </si>
  <si>
    <t>Historia de Usuario</t>
  </si>
  <si>
    <t>Alias</t>
  </si>
  <si>
    <t>Estado</t>
  </si>
  <si>
    <t>Story Points</t>
  </si>
  <si>
    <t>Sprint</t>
  </si>
  <si>
    <t>Prioridad</t>
  </si>
  <si>
    <t>RF</t>
  </si>
  <si>
    <t>Alcance</t>
  </si>
  <si>
    <t>Criterios de aceptación (resumen)</t>
  </si>
  <si>
    <t>Evidencia / rama</t>
  </si>
  <si>
    <t>Issue GitHub</t>
  </si>
  <si>
    <t>Comentarios</t>
  </si>
  <si>
    <t>HU-001</t>
  </si>
  <si>
    <t>Cuenta y acceso</t>
  </si>
  <si>
    <t>Como usuario final, quiero crear una cuenta, para utilizar CitaJusta y administrar mis citas.</t>
  </si>
  <si>
    <t>Registro de usuario</t>
  </si>
  <si>
    <t>Done</t>
  </si>
  <si>
    <t>Sprint 3</t>
  </si>
  <si>
    <t>Alta</t>
  </si>
  <si>
    <t>RF-001</t>
  </si>
  <si>
    <t>MVP</t>
  </si>
  <si>
    <t>El sistema valida campos obligatorios y formatos. • No permite registrar un correo ya utilizado. • La contraseña cumple la política definida y nunca se almacena en texto plano.</t>
  </si>
  <si>
    <t>feat/auth-foundation</t>
  </si>
  <si>
    <t>Pendiente de vincular</t>
  </si>
  <si>
    <t>Registro implementado y probado en Auth.</t>
  </si>
  <si>
    <t>HU-002</t>
  </si>
  <si>
    <t>Como usuario, quiero iniciar sesión de forma segura, para acceder únicamente a las funciones que me corresponden.</t>
  </si>
  <si>
    <t>Inicio de sesión</t>
  </si>
  <si>
    <t>Crítica</t>
  </si>
  <si>
    <t>RF-002</t>
  </si>
  <si>
    <t>Credenciales válidas permiten acceder. • Credenciales inválidas no revelan si el correo existe. • El backend valida autenticación y rol para recursos protegidos.</t>
  </si>
  <si>
    <t>feat/auth-foundation / feat/rbac-institution-context</t>
  </si>
  <si>
    <t>Login, refresh rotativo y logout implementados y probados.</t>
  </si>
  <si>
    <t>HU-003</t>
  </si>
  <si>
    <t>Citas</t>
  </si>
  <si>
    <t>Como usuario, quiero buscar citas por servicio, sede y fecha o preferencia, para encontrar una atención compatible con mis necesidades.</t>
  </si>
  <si>
    <t>Buscar citas</t>
  </si>
  <si>
    <t>Sprint 4</t>
  </si>
  <si>
    <t>RF-011 / RF-012</t>
  </si>
  <si>
    <t>La búsqueda exige al menos un servicio. • Los resultados respetan filtros válidos de sede y fecha/preferencia. • No se muestran cupos bloqueados, ocupados o fuera de disponibilidad.</t>
  </si>
  <si>
    <t>feat/catalog-read-foundation / feat/availability-read-foundation / feat/web-api-integration · PR #43</t>
  </si>
  <si>
    <t>S5-T05 · PR #43</t>
  </si>
  <si>
    <t>Búsqueda funcional completada de punta a punta: institución/sede/servicio, consulta de disponibilidad y resultados reales en Web. Cierre funcional realizado en Sprint 5 sobre la base backend iniciada en Sprint 4; validación Web/API/PostgreSQL E2E 13/13 y revisión manual.</t>
  </si>
  <si>
    <t>HU-004</t>
  </si>
  <si>
    <t>Como usuario, quiero reservar un cupo disponible, para asegurar una atención en el horario seleccionado.</t>
  </si>
  <si>
    <t>Reservar una cita</t>
  </si>
  <si>
    <t>Sprint 5</t>
  </si>
  <si>
    <t>RF-013</t>
  </si>
  <si>
    <t>El backend revalida el cupo dentro de una transacción Serializable. • Una reserva exitosa crea una sola cita activa con estado AGENDADA y origen WEB interno. • La actualización condicional AVAILABLE→RESERVED usa lockVersion. • UNIQUE(citas.cupo_id) evita doble asignación. • Concurrencia real verificada: un 201, un 409 y una sola cita.</t>
  </si>
  <si>
    <t>feat/appointments-booking-foundation · commit 7a6a80e · merge a main 9b3e5a7</t>
  </si>
  <si>
    <t>PR HU-004 fusionado</t>
  </si>
  <si>
    <t>Reserva transaccional implementada y validada. POST /api/v1/appointments; estado inicial AGENDADA; origen WEB interno; transacción Serializable; AVAILABLE→RESERVED con lockVersion; UNIQUE(citas.cupo_id) como segunda defensa; historial inicial. Validación final: 88/88 unitarios, E2E checkpoint 1/1 y E2E appointments 8/8.</t>
  </si>
  <si>
    <t>HU-005</t>
  </si>
  <si>
    <t>Como usuario, quiero visualizar mis citas y su estado, para saber cuándo debo asistir y qué acciones tengo disponibles.</t>
  </si>
  <si>
    <t>Consultar mis citas</t>
  </si>
  <si>
    <t>RF-014</t>
  </si>
  <si>
    <t>El usuario sólo ve sus propias citas. • Se muestran fecha, hora, servicio, sede, profesional y estado aplicable. • Las acciones disponibles dependen del estado y permisos.</t>
  </si>
  <si>
    <t>commit 89d15a8 · GET /api/v1/appointments/me</t>
  </si>
  <si>
    <t>HU-005 creada en GitHub Projects</t>
  </si>
  <si>
    <t>Consulta autenticada de citas propias implementada. Aislamiento por AuthenticatedPrincipal, DTO público controlado, orden startsAt ASC/id ASC. Validación al cierre de HU-005: 96/96 unitarios, appointments E2E 14/14 y checkpoint 1/1.</t>
  </si>
  <si>
    <t>HU-006</t>
  </si>
  <si>
    <t>Como usuario, quiero cancelar una cita que no podré utilizar, para liberar el cupo y mantener mi agenda actualizada.</t>
  </si>
  <si>
    <t>Cancelar una cita</t>
  </si>
  <si>
    <t>RF-015</t>
  </si>
  <si>
    <t>Sólo el titular o un rol autorizado puede cancelar. • La cancelación cambia el estado de la cita y queda auditada. • Si el cupo es reutilizable, queda disponible para el proceso de reasignación.</t>
  </si>
  <si>
    <t>feat/appointments-cancellation · commit 9c62153 · PR #37</t>
  </si>
  <si>
    <t>CitaJusta #32 · PR #37</t>
  </si>
  <si>
    <t>Cancelación transaccional e idempotente implementada: AGENDADA → CANCELADA y AgendaSlot RESERVED → RELEASED, sin volver a AVAILABLE. Concurrencia validada 200/200 sin doble efecto. Validación actual: 114/114 unitarios, appointments E2E 22/22, checkpoint 1/1 y build aprobado.</t>
  </si>
  <si>
    <t>HU-007</t>
  </si>
  <si>
    <t>Lista de espera</t>
  </si>
  <si>
    <t>Como usuario, quiero ingresar a una lista de espera cuando no haya disponibilidad adecuada, para tener la posibilidad de recibir un cupo que se libere.</t>
  </si>
  <si>
    <t>Ingresar a lista de espera</t>
  </si>
  <si>
    <t>RF-018 / RF-019</t>
  </si>
  <si>
    <t>Sólo se permite una espera activa equivalente cuando así lo defina la regla de negocio. • Se registran servicio, sede/preferencias y fecha de ingreso. • El usuario puede consultar el estado de la espera.</t>
  </si>
  <si>
    <t>feat/waitlist-entry</t>
  </si>
  <si>
    <t>HU-007 · Done</t>
  </si>
  <si>
    <t>Alta y consulta de lista de espera implementadas y validadas contra PostgreSQL real.</t>
  </si>
  <si>
    <t>HU-008</t>
  </si>
  <si>
    <t>Como usuario, quiero indicar y modificar mis días, horarios y sede preferidos, para recibir solamente ofertas que pueda utilizar.</t>
  </si>
  <si>
    <t>Gestionar preferencias de espera</t>
  </si>
  <si>
    <t>RF-019 / RF-021</t>
  </si>
  <si>
    <t>Las preferencias deben usar valores válidos. • Los cambios aplican a futuras evaluaciones de compatibilidad. • El usuario puede retirarse de una espera activa y el cambio queda persistido.</t>
  </si>
  <si>
    <t>feat/waitlist-preferences</t>
  </si>
  <si>
    <t>HU-008 · Done</t>
  </si>
  <si>
    <t>Preferencias y retiro implementados; E2E HU-007/HU-008 real 24/24 PASS.</t>
  </si>
  <si>
    <t>HU-009</t>
  </si>
  <si>
    <t>Ofertas</t>
  </si>
  <si>
    <t>Como usuario en lista de espera, quiero recibir una oferta cuando se libere un cupo compatible, para decidir si deseo tomarlo.</t>
  </si>
  <si>
    <t>Recibir oferta de cupo liberado</t>
  </si>
  <si>
    <t>Sprint 6</t>
  </si>
  <si>
    <t>RF-022 a RF-027 / RF-034</t>
  </si>
  <si>
    <t>La oferta sólo se genera para un candidato compatible. • La oferta posee fecha/hora de expiración persistida. • El usuario es notificado dentro de CitaJusta.</t>
  </si>
  <si>
    <t>feat/reassignment-offers</t>
  </si>
  <si>
    <t>HU-009 · Done</t>
  </si>
  <si>
    <t>Generación de oferta, ranking/snapshot y TTL implementados en backend.</t>
  </si>
  <si>
    <t>HU-010</t>
  </si>
  <si>
    <t>Como usuario, quiero aceptar una oferta vigente, para obtener el cupo liberado de manera segura.</t>
  </si>
  <si>
    <t>Aceptar una oferta</t>
  </si>
  <si>
    <t>RF-027</t>
  </si>
  <si>
    <t>Sólo el destinatario puede aceptar la oferta. • La oferta debe estar vigente y el cupo disponible. • La aceptación se ejecuta transaccionalmente.</t>
  </si>
  <si>
    <t>feat/accept-reassignment-offer</t>
  </si>
  <si>
    <t>HU-010 · Done</t>
  </si>
  <si>
    <t>Aceptación transaccional e idempotente implementada con transferencia segura de la cita.</t>
  </si>
  <si>
    <t>HU-011</t>
  </si>
  <si>
    <t>Como usuario, quiero rechazar una oferta que no puedo utilizar, para que el sistema pueda continuar con otro candidato.</t>
  </si>
  <si>
    <t>Rechazar una oferta</t>
  </si>
  <si>
    <t>RF-028</t>
  </si>
  <si>
    <t>Sólo el destinatario puede rechazar. • La oferta cambia a estado rechazado. • El cupo puede continuar con el siguiente candidato válido.</t>
  </si>
  <si>
    <t>feat/reject-reassignment-offer</t>
  </si>
  <si>
    <t>HU-011 · Done</t>
  </si>
  <si>
    <t>Rechazo y continuidad/exhaustión del flujo implementados.</t>
  </si>
  <si>
    <t>HU-012</t>
  </si>
  <si>
    <t>Administración</t>
  </si>
  <si>
    <t>Como administrador institucional, quiero administrar sedes y servicios, para configurar correctamente la oferta de atención de mi institución.</t>
  </si>
  <si>
    <t>Gestionar servicios y sedes</t>
  </si>
  <si>
    <t>RF-005 a RF-007</t>
  </si>
  <si>
    <t>Sólo roles autorizados pueden crear o modificar datos institucionales. • Una sede pertenece a una institución válida. • Un servicio puede activarse o desactivarse sin borrar su historial.</t>
  </si>
  <si>
    <t>feat/catalog-administration</t>
  </si>
  <si>
    <t>HU-012 · Done</t>
  </si>
  <si>
    <t>Administración de sedes/servicios implementada con permisos y activación/desactivación.</t>
  </si>
  <si>
    <t>HU-013</t>
  </si>
  <si>
    <t>Como administrador institucional, quiero registrar profesionales y asociarlos a servicios y sedes, para construir la agenda institucional.</t>
  </si>
  <si>
    <t>Gestionar profesionales</t>
  </si>
  <si>
    <t>RF-008</t>
  </si>
  <si>
    <t>El profesional se asocia a una institución y a servicios válidos. • No se crean asociaciones duplicadas equivalentes. • Los cambios relevantes quedan auditados.</t>
  </si>
  <si>
    <t>feat/professional-administration</t>
  </si>
  <si>
    <t>HU-013 · Done</t>
  </si>
  <si>
    <t>Administración de profesionales y asociaciones implementada.</t>
  </si>
  <si>
    <t>HU-014</t>
  </si>
  <si>
    <t>Agenda</t>
  </si>
  <si>
    <t>Como usuario autorizado, quiero configurar disponibilidad, bloqueos e indisponibilidades, para evitar que se ofrezcan horarios no atendibles.</t>
  </si>
  <si>
    <t>Configurar disponibilidad</t>
  </si>
  <si>
    <t>RF-009</t>
  </si>
  <si>
    <t>No se aceptan rangos inválidos o superpuestos cuando generen conflicto. • Los bloqueos impiden nuevas reservas en el periodo afectado. • La agenda refleja los cambios de disponibilidad.</t>
  </si>
  <si>
    <t>feat/availability-administration</t>
  </si>
  <si>
    <t>HU-014 · Done</t>
  </si>
  <si>
    <t>Disponibilidad, materialización de cupos y bloqueos implementados.</t>
  </si>
  <si>
    <t>HU-015</t>
  </si>
  <si>
    <t>Como funcionario, quiero consultar la agenda por fecha, sede, servicio, profesional y estado, para gestionar la operación diaria.</t>
  </si>
  <si>
    <t>Consultar agenda institucional</t>
  </si>
  <si>
    <t>RF-010</t>
  </si>
  <si>
    <t>La agenda puede filtrarse por los criterios definidos. • Cada cita muestra estado y datos operativos relevantes. • El usuario sólo consulta sedes/recursos dentro de su ámbito autorizado.</t>
  </si>
  <si>
    <t>feat/institutional-agenda</t>
  </si>
  <si>
    <t>HU-015 · Done</t>
  </si>
  <si>
    <t>Agenda institucional con filtros y trazabilidad de estados implementada.</t>
  </si>
  <si>
    <t>HU-016</t>
  </si>
  <si>
    <t>Reasignación</t>
  </si>
  <si>
    <t>Como funcionario autorizado, quiero visualizar el cupo liberado, candidatos evaluados, oferta y estado del flujo, para supervisar la reasignación automática.</t>
  </si>
  <si>
    <t>Supervisar una reasignación</t>
  </si>
  <si>
    <t>RF-032 / RF-033</t>
  </si>
  <si>
    <t>El flujo muestra al menos cupo, candidatos, oferta y estado actual. • La vista distingue operación automática de intervención manual autorizada. • Cada paso crítico posee trazabilidad.</t>
  </si>
  <si>
    <t>feat/reassignment-supervision</t>
  </si>
  <si>
    <t>HU-016 · Done</t>
  </si>
  <si>
    <t>Consulta read-only de reasignación con trazabilidad y política implementada.</t>
  </si>
  <si>
    <t>HU-017</t>
  </si>
  <si>
    <t>Operación</t>
  </si>
  <si>
    <t>Como funcionario o profesional autorizado, quiero registrar asistencia o inasistencia, para mantener el historial operativo y apoyar las reglas institucionales.</t>
  </si>
  <si>
    <t>Registrar asistencia e inasistencia</t>
  </si>
  <si>
    <t>Media</t>
  </si>
  <si>
    <t>RF-017</t>
  </si>
  <si>
    <t>Objetivo</t>
  </si>
  <si>
    <t>Sólo roles autorizados registran asistencia/inasistencia. • No se registra asistencia sobre una cita cancelada. • El cambio queda persistido y auditado.</t>
  </si>
  <si>
    <t>feat/appointment-attendance</t>
  </si>
  <si>
    <t>HU-017 · Done</t>
  </si>
  <si>
    <t>Registro de ATENDIDA/INASISTENCIA implementado con control de transiciones.</t>
  </si>
  <si>
    <t>HU-018</t>
  </si>
  <si>
    <t>Como administrador institucional, quiero configurar parámetros permitidos de priorización, para adaptar la reasignación a las políticas de la institución.</t>
  </si>
  <si>
    <t>Configurar reglas de reasignación</t>
  </si>
  <si>
    <t>Pendiente trazabilidad RF</t>
  </si>
  <si>
    <t>Sólo administradores autorizados pueden cambiar parámetros. • Los valores deben respetar límites definidos por el sistema. • Los cambios quedan versionados o auditados y no alteran retroactivamente decisiones cerradas.</t>
  </si>
  <si>
    <t>feat/reassignment-policy</t>
  </si>
  <si>
    <t>HU-018 · Done</t>
  </si>
  <si>
    <t>Políticas versionadas e inmutables de reasignación implementadas.</t>
  </si>
  <si>
    <t>HU-019</t>
  </si>
  <si>
    <t>Reportes</t>
  </si>
  <si>
    <t>Como administrador, quiero consultar indicadores de cancelaciones, ofertas y cupos recuperados, para evaluar el desempeño de la agenda.</t>
  </si>
  <si>
    <t>Consultar indicadores</t>
  </si>
  <si>
    <t>Sprint 7</t>
  </si>
  <si>
    <t>RF-037</t>
  </si>
  <si>
    <t>Los indicadores se calculan a partir de datos persistidos. • Los filtros respetan el ámbito institucional. • Los resultados distinguen cancelaciones, ofertas, aceptaciones, expiraciones y cupos recuperados cuando corresponda.</t>
  </si>
  <si>
    <t>feat/reports-indicators · PR #84</t>
  </si>
  <si>
    <t>HU-019 · Done</t>
  </si>
  <si>
    <t>Indicadores institucionales implementados y validados.</t>
  </si>
  <si>
    <t>HU-020</t>
  </si>
  <si>
    <t>Auditoría</t>
  </si>
  <si>
    <t>Como auditor autorizado, quiero consultar la bitácora de operaciones relevantes, para reconstruir qué ocurrió, cuándo y por quién.</t>
  </si>
  <si>
    <t>Consultar trazabilidad</t>
  </si>
  <si>
    <t>RF-036</t>
  </si>
  <si>
    <t>El auditor posee acceso de lectura sin capacidad de alterar eventos. • La bitácora permite identificar actor/sistema, fecha, acción y recurso afectado según corresponda. • Los logs no exponen secretos o credenciales.</t>
  </si>
  <si>
    <t>feat/audit-trail · PR #86</t>
  </si>
  <si>
    <t>HU-020 · Done</t>
  </si>
  <si>
    <t>Auditoría read-only e instrumentación de eventos relevantes implementadas y validadas.</t>
  </si>
  <si>
    <t>HU-021</t>
  </si>
  <si>
    <t>Como usuario de CitaJusta, quiero gestionar desde la Web mi participación en listas de espera y sus preferencias, para inscribirme, ajustar mis condiciones de atención y retirarme cuando corresponda.</t>
  </si>
  <si>
    <t>Gestionar lista de espera y preferencias desde la Web</t>
  </si>
  <si>
    <t>Por estimar</t>
  </si>
  <si>
    <t>HU-007 / HU-008 Web</t>
  </si>
  <si>
    <t>El usuario autenticado puede consultar e ingresar a listas válidas. • Puede configurar días, rangos y sedes preferidas. • Puede retirarse. • La UI usa respuestas reales y no replica ranking/elegibilidad.</t>
  </si>
  <si>
    <t>feat/web-waitlist · PR #89 · merge c291d17</t>
  </si>
  <si>
    <t>HU-021 · Done</t>
  </si>
  <si>
    <t>Validación real Web + API + PostgreSQL: alta ACTIVE, preferencias persistentes y retiro. Web 56/56; development/seed 11/11; Waitlist E2E 24/24.</t>
  </si>
  <si>
    <t>HU-022</t>
  </si>
  <si>
    <t>Como usuario de CitaJusta, quiero visualizar y responder desde la Web las ofertas de reasignación que reciba, para aceptar una nueva hora compatible o rechazarla de forma segura.</t>
  </si>
  <si>
    <t>Gestionar ofertas de reasignación desde la Web</t>
  </si>
  <si>
    <t>HU-009 / HU-010 / HU-011 Web</t>
  </si>
  <si>
    <t>La Web muestra ofertas reales y su expiresAt. • Permite aceptar/rechazar mediante los endpoints reales. • La aceptación transfiere la cita existente. • El rechazo no crea una cita. • El cliente no recalcula elegibilidad ni ranking.</t>
  </si>
  <si>
    <t>feat/web-reassignment-offers · PR #93 · merge 5701ab7</t>
  </si>
  <si>
    <t>HU-022 · Done</t>
  </si>
  <si>
    <t>Validación completa Web + API + PostgreSQL: ACCEPT transfirió cita AGENDADA; REJECT no creó cita; oferta vencida deshabilitada sin mutación desde el cliente.</t>
  </si>
  <si>
    <t>HU-023</t>
  </si>
  <si>
    <t>Ofertas / Reasignación</t>
  </si>
  <si>
    <t>Como sistema CitaJusta, quiero expirar automáticamente las ofertas vencidas y continuar con el siguiente candidato elegible, para recuperar cupos liberados sin depender de intervención manual.</t>
  </si>
  <si>
    <t>Automatizar expiración y continuidad de reasignación</t>
  </si>
  <si>
    <t>RF-029 / RF-030 / RF-036</t>
  </si>
  <si>
    <t>Una oferta PENDING vencida pasa de forma persistente a EXPIRED. • La continuidad genera como máximo una siguiente oferta. • Sin candidatos el proceso queda EXHAUSTED. • Cupo/contexto inutilizable cierra CANCELLED. • La operación es idempotente, transaccional y segura ante concurrencia.</t>
  </si>
  <si>
    <t>feat/automatic-offer-expiration · PR #96 · merge 109b1c9</t>
  </si>
  <si>
    <t>HU-023 · Done</t>
  </si>
  <si>
    <t>Runner interno sin dependencias nuevas. Auditoría OFFER_EXPIRED. Validación: API 368/368; E2E expiración 10/10; reasignaciones 20/20; audit 11/11; policy 13/13; reports 15/15; checkpoint 1/1.</t>
  </si>
  <si>
    <t>HU-024</t>
  </si>
  <si>
    <t>Notificaciones</t>
  </si>
  <si>
    <t>Como usuario de CitaJusta, quiero recibir y consultar notificaciones internas sobre eventos importantes de mis citas, lista de espera y ofertas, para mantenerme informado sin depender de servicios externos.</t>
  </si>
  <si>
    <t>Implementar notificaciones internas</t>
  </si>
  <si>
    <t>RF-034</t>
  </si>
  <si>
    <t>Las notificaciones se persisten dentro de las transacciones reales del dominio. • Sólo el destinatario autenticado puede consultarlas o marcarlas como leídas. • Reintentos idempotentes no generan duplicados. • La Web muestra contador, listado y lectura persistente.</t>
  </si>
  <si>
    <t>feat/internal-notifications · PR #99 · merge b1bff30</t>
  </si>
  <si>
    <t>HU-024 · Done</t>
  </si>
  <si>
    <t>Ocho eventos integrados. API /notifications/me + unread-count + read. Web /notificaciones. Validación: nuevos API 6/6; E2E notifications 8/8; API dirigida 157/157; regresión crítica 87/87; Web 83/83; prueba manual de lectura y logout/login PASS.</t>
  </si>
  <si>
    <t>HU-025</t>
  </si>
  <si>
    <t>Como sistema CitaJusta, quiero iniciar automáticamente la reasignación cuando una cancelación libera un cupo reutilizable, para ofrecerlo a candidatos compatibles sin intervención administrativa.</t>
  </si>
  <si>
    <t>Iniciar reasignación automática tras cancelación</t>
  </si>
  <si>
    <t>Refuerzo RF-022 a RF-030</t>
  </si>
  <si>
    <t>Una cancelación que libera un cupo reutilizable inicia la reasignación en la misma transacción. • No crea procesos/ofertas duplicados. • Sin candidatos elegibles queda EXHAUSTED. • Cupos no reutilizables permiten completar la cancelación sin procesos parciales.</t>
  </si>
  <si>
    <t>feat/automatic-reassignment-start · PR #105 · merge ea33e9f</t>
  </si>
  <si>
    <t>CitaJusta #103 · Done</t>
  </si>
  <si>
    <t>Validación: API 390/390; E2E automatic-start 8/8; build y regresión relacionada PASS. Inicio automático auditado como SYSTEM y cancelación como USER.</t>
  </si>
  <si>
    <t>HU-026</t>
  </si>
  <si>
    <t>Como usuario de CitaJusta, quiero elegir una fecha específica o una búsqueda flexible, para encontrar disponibilidad de acuerdo con el día en que necesito atenderme.</t>
  </si>
  <si>
    <t>Buscar disponibilidad por fecha específica</t>
  </si>
  <si>
    <t>Permite Fecha específica mediante calendario o modo flexible 7/14/30 días. • Rechaza fechas pasadas. • Hoy inicia desde la hora actual. • Respeta calendario local y cambios DST. • Mantiene el mismo contrato from/to del backend.</t>
  </si>
  <si>
    <t>feat/availability-date-search · PR #107 · merge ec427a4</t>
  </si>
  <si>
    <t>HU-026 · Done</t>
  </si>
  <si>
    <t>Validación: fechas 10/10; UI 16/16; Web 95/95; typecheck/build PASS. Prueba manual: 4 cupos reales coincidentes entre búsqueda flexible y fecha específica.</t>
  </si>
  <si>
    <t>Indicador</t>
  </si>
  <si>
    <t>Valor</t>
  </si>
  <si>
    <t>Historias</t>
  </si>
  <si>
    <t>Historias totales</t>
  </si>
  <si>
    <t>Story Points base HU-001–HU-020</t>
  </si>
  <si>
    <t>En progreso</t>
  </si>
  <si>
    <t>Pendiente</t>
  </si>
  <si>
    <t>SP completados base HU-001–HU-020</t>
  </si>
  <si>
    <t>Avance SP backlog base</t>
  </si>
  <si>
    <t>Historias MVP</t>
  </si>
  <si>
    <t>Historias Objetivo</t>
  </si>
  <si>
    <t>Total</t>
  </si>
  <si>
    <t>Notas de actualización</t>
  </si>
  <si>
    <t>Último avance técnico incorporado al Backlog</t>
  </si>
  <si>
    <t>Versión 1.8 · Actualización 23-09-2026 · HU-001 a HU-029 Done · MVP Web cerrado · Sprint 7 Desktop/Tauri en progreso.</t>
  </si>
  <si>
    <t>HU-027</t>
  </si>
  <si>
    <t>Desktop institucional</t>
  </si>
  <si>
    <t>Inicializar la aplicación institucional de escritorio con Tauri + React + TypeScript para disponer de una base nativa que consuma la misma API REST de CitaJusta.</t>
  </si>
  <si>
    <t>Inicializar aplicación Desktop institucional con Tauri</t>
  </si>
  <si>
    <t>Fundación Desktop / interfaz institucional</t>
  </si>
  <si>
    <t>Existe apps/desktop dentro del monorepo. • Tauri 2 + React/Vite/TypeScript compila y abre correctamente. • La shell institucional queda preparada sin duplicar reglas de negocio en Rust/Tauri.</t>
  </si>
  <si>
    <t>feat/desktop-tauri-foundation · commit 01ff1b1 · PR #112 · merge 6adab82</t>
  </si>
  <si>
    <t>HU-027 · Done</t>
  </si>
  <si>
    <t>Fundación Desktop creada y validada con build frontend, cargo check y ejecución nativa Tauri.</t>
  </si>
  <si>
    <t>HU-028</t>
  </si>
  <si>
    <t>Como usuario institucional, quiero iniciar sesión de forma segura en CitaJusta Desktop, para acceder a la API con mi contexto autorizado sin persistir tokens de forma insegura.</t>
  </si>
  <si>
    <t>Autenticación Desktop y client-core compartido</t>
  </si>
  <si>
    <t>Auth Desktop / cliente compartido</t>
  </si>
  <si>
    <t>Login real contra API. • Perfil/contexto provienen del backend. • Tokens permanecen sólo en memoria. • Web y Desktop comparten HTTP/sesión mediante @citajusta/client-core. • Logout elimina la sesión local.</t>
  </si>
  <si>
    <t>feat/desktop-auth-api · commit 46fb85f · PR #113 · merge ae151b3</t>
  </si>
  <si>
    <t>HU-028 · Done</t>
  </si>
  <si>
    <t>Validación: Web 95/95; Desktop 7/7; client-core 2/2; builds y cargo check PASS; login/logout manual en Tauri PASS.</t>
  </si>
  <si>
    <t>HU-029</t>
  </si>
  <si>
    <t>Como usuario institucional autorizado, quiero gestionar las sedes y servicios de mi institución desde CitaJusta Desktop, para mantener actualizado el catálogo institucional utilizado por agenda, profesionales, disponibilidad y procesos de atención.</t>
  </si>
  <si>
    <t>Gestionar sedes y servicios desde Desktop</t>
  </si>
  <si>
    <t>HU-012 Desktop / RBAC administrativo</t>
  </si>
  <si>
    <t>Lecturas administrativas respetan tenant y scope. • Crear/editar/activar/inactivar sedes y servicios usa permisos explícitos. • Servicios administran branchIds y categorías reales. • GET públicos existentes conservan su contrato.</t>
  </si>
  <si>
    <t>feat/desktop-branch-service-management · commit f58c742 · merge e1cdb2e</t>
  </si>
  <si>
    <t>HU-029 · Done</t>
  </si>
  <si>
    <t>Validación: API 394/394; backend enfocado 34/34; E2E catálogo 15/15; Web 95/95; Desktop 16/16; client-core 4/4; Prisma/build/cargo/diff PASS y prueba manual Tauri/PostgreSQL completa.</t>
  </si>
  <si>
    <t>Nota: HU-001 a HU-020 mantienen sus Story Points históricos (105 SP). HU-021 a HU-029 permanecen Por estimar hasta refinamiento formal del Scrum Team. HU-027 a HU-029 documentan el inicio de Sprint 7 Desktop/Tauri y no alteran retrospectivamente Sprints cerrados.</t>
  </si>
  <si>
    <t>CITAJUSTA — RESUMEN DEL PRODUCT BACKLOG (ACTUALIZADO 23-09-2026)</t>
  </si>
  <si>
    <t>• Backend HU-001 a HU-020 Done.
• HU-021 a HU-026 cerraron el MVP Web.
• HU-027 fundó apps/desktop con Tauri 2.
• HU-028 incorporó autenticación Desktop y @citajusta/client-core.
• HU-029 incorporó gestión institucional real de sedes y servicios.
• HU-021 a HU-029 mantienen Story Points Por estimar.</t>
  </si>
  <si>
    <t>Sprint 7 Desktop/Tauri en progreso. HU-027 (PR #112, merge 6adab82), HU-028 (PR #113, merge ae151b3) y HU-029 (commit f58c742, merge e1cdb2e) están Done. El siguiente PBI Desktop queda pendiente de refinamiento antes de incorporarlo al backlog.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</si>
</sst>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rgb="FF000000"/>
      <name val="Carlito"/>
    </font>
    <font>
      <b/>
      <sz val="16"/>
      <color rgb="FFFFFFFF"/>
      <name val="Carlito"/>
    </font>
    <font>
      <sz val="11"/>
      <color theme="1"/>
      <name val="Carlito"/>
    </font>
    <font>
      <b/>
      <sz val="11"/>
      <color theme="1"/>
      <name val="Carlito"/>
    </font>
    <font>
      <b/>
      <sz val="11"/>
      <color rgb="FF1F1F1F"/>
      <name val="Carlito"/>
    </font>
    <font>
      <sz val="11"/>
      <color rgb="FF000000"/>
      <name val="Carlito"/>
    </font>
    <font>
      <b/>
      <sz val="11"/>
      <color rgb="FF000000"/>
      <name val="Carlito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B6D7A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theme="9" tint="0.79992065187536243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6" fillId="3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wrapText="1"/>
    </xf>
    <xf numFmtId="0" fontId="0" fillId="0" borderId="0" xfId="0" applyAlignment="1">
      <alignment wrapText="1"/>
    </xf>
    <xf numFmtId="0" fontId="2" fillId="0" borderId="14" xfId="0" applyFont="1" applyBorder="1" applyAlignment="1">
      <alignment vertical="top" wrapText="1"/>
    </xf>
    <xf numFmtId="0" fontId="3" fillId="6" borderId="1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16" xfId="0" applyFont="1" applyBorder="1" applyAlignment="1">
      <alignment vertical="top" wrapText="1"/>
    </xf>
    <xf numFmtId="0" fontId="0" fillId="0" borderId="17" xfId="0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13" xfId="0" applyFont="1" applyFill="1" applyBorder="1" applyAlignment="1">
      <alignment horizontal="center" vertical="center" wrapText="1"/>
    </xf>
    <xf numFmtId="0" fontId="0" fillId="0" borderId="13" xfId="0" applyBorder="1" applyAlignment="1">
      <alignment wrapText="1"/>
    </xf>
    <xf numFmtId="0" fontId="6" fillId="4" borderId="2" xfId="0" applyFont="1" applyFill="1" applyBorder="1" applyAlignment="1">
      <alignment wrapText="1"/>
    </xf>
    <xf numFmtId="0" fontId="7" fillId="0" borderId="3" xfId="0" applyFont="1" applyBorder="1"/>
    <xf numFmtId="0" fontId="0" fillId="0" borderId="4" xfId="0" applyBorder="1" applyAlignment="1">
      <alignment vertical="top" wrapText="1"/>
    </xf>
    <xf numFmtId="0" fontId="7" fillId="0" borderId="5" xfId="0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8" xfId="0" applyFont="1" applyBorder="1"/>
    <xf numFmtId="0" fontId="7" fillId="0" borderId="9" xfId="0" applyFont="1" applyBorder="1"/>
    <xf numFmtId="0" fontId="6" fillId="5" borderId="2" xfId="0" applyFont="1" applyFill="1" applyBorder="1"/>
    <xf numFmtId="0" fontId="7" fillId="0" borderId="10" xfId="0" applyFont="1" applyBorder="1"/>
    <xf numFmtId="0" fontId="7" fillId="0" borderId="11" xfId="0" applyFont="1" applyBorder="1" applyAlignment="1">
      <alignment wrapText="1"/>
    </xf>
    <xf numFmtId="0" fontId="7" fillId="0" borderId="6" xfId="0" applyFont="1" applyBorder="1"/>
    <xf numFmtId="0" fontId="7" fillId="0" borderId="7" xfId="0" applyFont="1" applyBorder="1"/>
    <xf numFmtId="0" fontId="7" fillId="0" borderId="12" xfId="0" applyFont="1" applyBorder="1"/>
    <xf numFmtId="0" fontId="0" fillId="7" borderId="13" xfId="0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2" fillId="0" borderId="13" xfId="0" applyFont="1" applyBorder="1" applyAlignment="1">
      <alignment vertical="top" wrapText="1"/>
    </xf>
    <xf numFmtId="0" fontId="2" fillId="7" borderId="17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wrapText="1"/>
    </xf>
    <xf numFmtId="0" fontId="0" fillId="8" borderId="0" xfId="0" applyFill="1" applyAlignment="1">
      <alignment wrapText="1"/>
    </xf>
  </cellXfs>
  <cellStyles count="1">
    <cellStyle name="Normal" xfId="0" builtinId="0"/>
  </cellStyles>
  <dxfs count="4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border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r>
              <a:rPr lang="es-CL">
                <a:solidFill>
                  <a:srgbClr val="757575"/>
                </a:solidFill>
                <a:latin typeface="+mn-lt"/>
                <a:ea typeface="+mn-lt"/>
                <a:cs typeface="+mn-lt"/>
              </a:rPr>
              <a:t>Historias por estado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Historias</c:v>
          </c:tx>
          <c:spPr>
            <a:solidFill>
              <a:schemeClr val="accent1"/>
            </a:solidFill>
            <a:ln cmpd="sng">
              <a:noFill/>
            </a:ln>
          </c:spPr>
          <c:invertIfNegative val="1"/>
          <c:val>
            <c:numRef>
              <c:f>Resumen!$E$4:$E$6</c:f>
              <c:numCache>
                <c:formatCode>General</c:formatCode>
                <c:ptCount val="3"/>
                <c:pt idx="0">
                  <c:v>29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5="http://schemas.microsoft.com/office/drawing/2012/chart" uri="{02D57815-91ED-43cb-92C2-25804820EDAC}">
              <c15:filteredCategoryTitle>
                <c15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15:cat>
              </c15:filteredCategoryTitle>
            </c:ext>
            <c:ext xmlns:c16="http://schemas.microsoft.com/office/drawing/2014/chart" uri="{C3380CC4-5D6E-409C-BE32-E72D297353CC}">
              <c16:uniqueId val="{00000000-151B-4442-A64E-99C17721F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1784184"/>
        <c:axId val="2056864122"/>
      </c:barChart>
      <c:catAx>
        <c:axId val="2041784184"/>
        <c:scaling>
          <c:orientation val="minMax"/>
        </c:scaling>
        <c:delete val="0"/>
        <c:axPos val="b"/>
        <c:title>
          <c:overlay val="1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es-CL"/>
            </a:p>
          </c:txPr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CL"/>
          </a:p>
        </c:txPr>
        <c:crossAx val="2056864122"/>
        <c:crosses val="autoZero"/>
        <c:auto val="1"/>
        <c:lblAlgn val="ctr"/>
        <c:lblOffset val="100"/>
        <c:noMultiLvlLbl val="0"/>
      </c:catAx>
      <c:valAx>
        <c:axId val="20568641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overlay val="1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es-CL"/>
            </a:p>
          </c:txPr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CL"/>
          </a:p>
        </c:txPr>
        <c:crossAx val="2041784184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161925</xdr:colOff>
      <xdr:row>3</xdr:row>
      <xdr:rowOff>9525</xdr:rowOff>
    </xdr:from>
    <xdr:ext cx="8258175" cy="3343275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_backlog" displayName="Product_backlog" ref="A4:N24" headerRowBorderDxfId="3">
  <tableColumns count="14">
    <tableColumn id="1" xr3:uid="{00000000-0010-0000-0000-000001000000}" name="ID"/>
    <tableColumn id="2" xr3:uid="{00000000-0010-0000-0000-000002000000}" name="Épica"/>
    <tableColumn id="3" xr3:uid="{00000000-0010-0000-0000-000003000000}" name="Historia de Usuario"/>
    <tableColumn id="4" xr3:uid="{00000000-0010-0000-0000-000004000000}" name="Alias"/>
    <tableColumn id="5" xr3:uid="{00000000-0010-0000-0000-000005000000}" name="Estado"/>
    <tableColumn id="6" xr3:uid="{00000000-0010-0000-0000-000006000000}" name="Story Points"/>
    <tableColumn id="7" xr3:uid="{00000000-0010-0000-0000-000007000000}" name="Sprint"/>
    <tableColumn id="8" xr3:uid="{00000000-0010-0000-0000-000008000000}" name="Prioridad"/>
    <tableColumn id="9" xr3:uid="{00000000-0010-0000-0000-000009000000}" name="RF"/>
    <tableColumn id="10" xr3:uid="{00000000-0010-0000-0000-00000A000000}" name="Alcance"/>
    <tableColumn id="11" xr3:uid="{00000000-0010-0000-0000-00000B000000}" name="Criterios de aceptación (resumen)"/>
    <tableColumn id="12" xr3:uid="{00000000-0010-0000-0000-00000C000000}" name="Evidencia / rama"/>
    <tableColumn id="13" xr3:uid="{00000000-0010-0000-0000-00000D000000}" name="Issue GitHub"/>
    <tableColumn id="14" xr3:uid="{00000000-0010-0000-0000-00000E000000}" name="Comentarios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topLeftCell="A6" workbookViewId="0">
      <selection activeCell="B19" sqref="B19"/>
    </sheetView>
  </sheetViews>
  <sheetFormatPr baseColWidth="10" defaultColWidth="12.625" defaultRowHeight="14.25"/>
  <cols>
    <col min="1" max="1" width="12" customWidth="1"/>
    <col min="2" max="2" width="18" customWidth="1"/>
    <col min="3" max="3" width="46" customWidth="1"/>
    <col min="4" max="4" width="26" customWidth="1"/>
    <col min="5" max="5" width="15" customWidth="1"/>
    <col min="6" max="6" width="22.125" customWidth="1"/>
    <col min="7" max="7" width="12" customWidth="1"/>
    <col min="8" max="8" width="15.75" customWidth="1"/>
    <col min="9" max="9" width="20" customWidth="1"/>
    <col min="10" max="10" width="12" customWidth="1"/>
    <col min="11" max="11" width="52" customWidth="1"/>
    <col min="12" max="12" width="38" customWidth="1"/>
    <col min="13" max="13" width="22" customWidth="1"/>
    <col min="14" max="14" width="44" customWidth="1"/>
  </cols>
  <sheetData>
    <row r="1" spans="1:14" ht="27.7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>
      <c r="A2" s="44" t="s">
        <v>259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4" spans="1:14" ht="33.75" customHeight="1">
      <c r="A4" s="9" t="s">
        <v>1</v>
      </c>
      <c r="B4" s="9" t="s">
        <v>2</v>
      </c>
      <c r="C4" s="9" t="s">
        <v>3</v>
      </c>
      <c r="D4" s="9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  <c r="J4" s="9" t="s">
        <v>10</v>
      </c>
      <c r="K4" s="9" t="s">
        <v>11</v>
      </c>
      <c r="L4" s="9" t="s">
        <v>12</v>
      </c>
      <c r="M4" s="9" t="s">
        <v>13</v>
      </c>
      <c r="N4" s="9" t="s">
        <v>14</v>
      </c>
    </row>
    <row r="5" spans="1:14" ht="43.5" customHeight="1">
      <c r="A5" s="8" t="s">
        <v>15</v>
      </c>
      <c r="B5" s="8" t="s">
        <v>16</v>
      </c>
      <c r="C5" s="8" t="s">
        <v>17</v>
      </c>
      <c r="D5" s="8" t="s">
        <v>18</v>
      </c>
      <c r="E5" s="8" t="s">
        <v>19</v>
      </c>
      <c r="F5" s="8">
        <v>3</v>
      </c>
      <c r="G5" s="8" t="s">
        <v>20</v>
      </c>
      <c r="H5" s="8" t="s">
        <v>21</v>
      </c>
      <c r="I5" s="8" t="s">
        <v>22</v>
      </c>
      <c r="J5" s="8" t="s">
        <v>23</v>
      </c>
      <c r="K5" s="8" t="s">
        <v>24</v>
      </c>
      <c r="L5" s="8" t="s">
        <v>25</v>
      </c>
      <c r="M5" s="8" t="s">
        <v>26</v>
      </c>
      <c r="N5" s="8" t="s">
        <v>27</v>
      </c>
    </row>
    <row r="6" spans="1:14" ht="43.5" customHeight="1">
      <c r="A6" s="1" t="s">
        <v>28</v>
      </c>
      <c r="B6" s="1" t="s">
        <v>16</v>
      </c>
      <c r="C6" s="1" t="s">
        <v>29</v>
      </c>
      <c r="D6" s="1" t="s">
        <v>30</v>
      </c>
      <c r="E6" s="1" t="s">
        <v>19</v>
      </c>
      <c r="F6" s="1">
        <v>3</v>
      </c>
      <c r="G6" s="1" t="s">
        <v>20</v>
      </c>
      <c r="H6" s="1" t="s">
        <v>31</v>
      </c>
      <c r="I6" s="1" t="s">
        <v>32</v>
      </c>
      <c r="J6" s="1" t="s">
        <v>23</v>
      </c>
      <c r="K6" s="1" t="s">
        <v>33</v>
      </c>
      <c r="L6" s="1" t="s">
        <v>34</v>
      </c>
      <c r="M6" s="1" t="s">
        <v>26</v>
      </c>
      <c r="N6" s="1" t="s">
        <v>35</v>
      </c>
    </row>
    <row r="7" spans="1:14" ht="43.5" customHeight="1">
      <c r="A7" s="1" t="s">
        <v>36</v>
      </c>
      <c r="B7" s="1" t="s">
        <v>37</v>
      </c>
      <c r="C7" s="1" t="s">
        <v>38</v>
      </c>
      <c r="D7" s="1" t="s">
        <v>39</v>
      </c>
      <c r="E7" s="1" t="s">
        <v>19</v>
      </c>
      <c r="F7" s="1">
        <v>5</v>
      </c>
      <c r="G7" s="1" t="s">
        <v>40</v>
      </c>
      <c r="H7" s="1" t="s">
        <v>31</v>
      </c>
      <c r="I7" s="1" t="s">
        <v>41</v>
      </c>
      <c r="J7" s="1" t="s">
        <v>23</v>
      </c>
      <c r="K7" s="1" t="s">
        <v>42</v>
      </c>
      <c r="L7" s="1" t="s">
        <v>43</v>
      </c>
      <c r="M7" s="1" t="s">
        <v>44</v>
      </c>
      <c r="N7" s="1" t="s">
        <v>45</v>
      </c>
    </row>
    <row r="8" spans="1:14" ht="43.5" customHeight="1">
      <c r="A8" s="1" t="s">
        <v>46</v>
      </c>
      <c r="B8" s="1" t="s">
        <v>37</v>
      </c>
      <c r="C8" s="1" t="s">
        <v>47</v>
      </c>
      <c r="D8" s="1" t="s">
        <v>48</v>
      </c>
      <c r="E8" s="1" t="s">
        <v>19</v>
      </c>
      <c r="F8" s="1">
        <v>5</v>
      </c>
      <c r="G8" s="1" t="s">
        <v>49</v>
      </c>
      <c r="H8" s="1" t="s">
        <v>31</v>
      </c>
      <c r="I8" s="1" t="s">
        <v>50</v>
      </c>
      <c r="J8" s="1" t="s">
        <v>23</v>
      </c>
      <c r="K8" s="1" t="s">
        <v>51</v>
      </c>
      <c r="L8" s="1" t="s">
        <v>52</v>
      </c>
      <c r="M8" s="1" t="s">
        <v>53</v>
      </c>
      <c r="N8" s="1" t="s">
        <v>54</v>
      </c>
    </row>
    <row r="9" spans="1:14" ht="43.5" customHeight="1">
      <c r="A9" s="1" t="s">
        <v>55</v>
      </c>
      <c r="B9" s="1" t="s">
        <v>37</v>
      </c>
      <c r="C9" s="1" t="s">
        <v>56</v>
      </c>
      <c r="D9" s="1" t="s">
        <v>57</v>
      </c>
      <c r="E9" s="1" t="s">
        <v>19</v>
      </c>
      <c r="F9" s="1">
        <v>3</v>
      </c>
      <c r="G9" s="1" t="s">
        <v>49</v>
      </c>
      <c r="H9" s="1" t="s">
        <v>21</v>
      </c>
      <c r="I9" s="1" t="s">
        <v>58</v>
      </c>
      <c r="J9" s="1" t="s">
        <v>23</v>
      </c>
      <c r="K9" s="1" t="s">
        <v>59</v>
      </c>
      <c r="L9" s="1" t="s">
        <v>60</v>
      </c>
      <c r="M9" s="1" t="s">
        <v>61</v>
      </c>
      <c r="N9" s="1" t="s">
        <v>62</v>
      </c>
    </row>
    <row r="10" spans="1:14" ht="43.5" customHeight="1">
      <c r="A10" s="1" t="s">
        <v>63</v>
      </c>
      <c r="B10" s="1" t="s">
        <v>37</v>
      </c>
      <c r="C10" s="1" t="s">
        <v>64</v>
      </c>
      <c r="D10" s="1" t="s">
        <v>65</v>
      </c>
      <c r="E10" s="1" t="s">
        <v>19</v>
      </c>
      <c r="F10" s="1">
        <v>5</v>
      </c>
      <c r="G10" s="1" t="s">
        <v>49</v>
      </c>
      <c r="H10" s="1" t="s">
        <v>31</v>
      </c>
      <c r="I10" s="1" t="s">
        <v>66</v>
      </c>
      <c r="J10" s="1" t="s">
        <v>23</v>
      </c>
      <c r="K10" s="1" t="s">
        <v>67</v>
      </c>
      <c r="L10" s="1" t="s">
        <v>68</v>
      </c>
      <c r="M10" s="1" t="s">
        <v>69</v>
      </c>
      <c r="N10" s="1" t="s">
        <v>70</v>
      </c>
    </row>
    <row r="11" spans="1:14" ht="43.5" customHeight="1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19</v>
      </c>
      <c r="F11" s="1">
        <v>5</v>
      </c>
      <c r="G11" s="1" t="s">
        <v>49</v>
      </c>
      <c r="H11" s="1" t="s">
        <v>31</v>
      </c>
      <c r="I11" s="1" t="s">
        <v>75</v>
      </c>
      <c r="J11" s="1" t="s">
        <v>23</v>
      </c>
      <c r="K11" s="1" t="s">
        <v>76</v>
      </c>
      <c r="L11" s="1" t="s">
        <v>77</v>
      </c>
      <c r="M11" s="1" t="s">
        <v>78</v>
      </c>
      <c r="N11" s="1" t="s">
        <v>79</v>
      </c>
    </row>
    <row r="12" spans="1:14" ht="43.5" customHeight="1">
      <c r="A12" s="1" t="s">
        <v>80</v>
      </c>
      <c r="B12" s="1" t="s">
        <v>72</v>
      </c>
      <c r="C12" s="1" t="s">
        <v>81</v>
      </c>
      <c r="D12" s="1" t="s">
        <v>82</v>
      </c>
      <c r="E12" s="1" t="s">
        <v>19</v>
      </c>
      <c r="F12" s="1">
        <v>5</v>
      </c>
      <c r="G12" s="1" t="s">
        <v>49</v>
      </c>
      <c r="H12" s="1" t="s">
        <v>21</v>
      </c>
      <c r="I12" s="1" t="s">
        <v>83</v>
      </c>
      <c r="J12" s="1" t="s">
        <v>23</v>
      </c>
      <c r="K12" s="1" t="s">
        <v>84</v>
      </c>
      <c r="L12" s="1" t="s">
        <v>85</v>
      </c>
      <c r="M12" s="1" t="s">
        <v>86</v>
      </c>
      <c r="N12" s="1" t="s">
        <v>87</v>
      </c>
    </row>
    <row r="13" spans="1:14" ht="43.5" customHeight="1">
      <c r="A13" s="1" t="s">
        <v>88</v>
      </c>
      <c r="B13" s="1" t="s">
        <v>89</v>
      </c>
      <c r="C13" s="1" t="s">
        <v>90</v>
      </c>
      <c r="D13" s="1" t="s">
        <v>91</v>
      </c>
      <c r="E13" s="1" t="s">
        <v>19</v>
      </c>
      <c r="F13" s="1">
        <v>8</v>
      </c>
      <c r="G13" s="1" t="s">
        <v>92</v>
      </c>
      <c r="H13" s="1" t="s">
        <v>31</v>
      </c>
      <c r="I13" s="1" t="s">
        <v>93</v>
      </c>
      <c r="J13" s="1" t="s">
        <v>23</v>
      </c>
      <c r="K13" s="1" t="s">
        <v>94</v>
      </c>
      <c r="L13" s="1" t="s">
        <v>95</v>
      </c>
      <c r="M13" s="1" t="s">
        <v>96</v>
      </c>
      <c r="N13" s="1" t="s">
        <v>97</v>
      </c>
    </row>
    <row r="14" spans="1:14" ht="43.5" customHeight="1">
      <c r="A14" s="1" t="s">
        <v>98</v>
      </c>
      <c r="B14" s="1" t="s">
        <v>89</v>
      </c>
      <c r="C14" s="1" t="s">
        <v>99</v>
      </c>
      <c r="D14" s="1" t="s">
        <v>100</v>
      </c>
      <c r="E14" s="1" t="s">
        <v>19</v>
      </c>
      <c r="F14" s="1">
        <v>8</v>
      </c>
      <c r="G14" s="1" t="s">
        <v>92</v>
      </c>
      <c r="H14" s="1" t="s">
        <v>31</v>
      </c>
      <c r="I14" s="1" t="s">
        <v>101</v>
      </c>
      <c r="J14" s="1" t="s">
        <v>23</v>
      </c>
      <c r="K14" s="1" t="s">
        <v>102</v>
      </c>
      <c r="L14" s="1" t="s">
        <v>103</v>
      </c>
      <c r="M14" s="1" t="s">
        <v>104</v>
      </c>
      <c r="N14" s="1" t="s">
        <v>105</v>
      </c>
    </row>
    <row r="15" spans="1:14" ht="43.5" customHeight="1">
      <c r="A15" s="1" t="s">
        <v>106</v>
      </c>
      <c r="B15" s="1" t="s">
        <v>89</v>
      </c>
      <c r="C15" s="1" t="s">
        <v>107</v>
      </c>
      <c r="D15" s="1" t="s">
        <v>108</v>
      </c>
      <c r="E15" s="1" t="s">
        <v>19</v>
      </c>
      <c r="F15" s="1">
        <v>3</v>
      </c>
      <c r="G15" s="1" t="s">
        <v>92</v>
      </c>
      <c r="H15" s="1" t="s">
        <v>21</v>
      </c>
      <c r="I15" s="1" t="s">
        <v>109</v>
      </c>
      <c r="J15" s="1" t="s">
        <v>23</v>
      </c>
      <c r="K15" s="1" t="s">
        <v>110</v>
      </c>
      <c r="L15" s="1" t="s">
        <v>111</v>
      </c>
      <c r="M15" s="1" t="s">
        <v>112</v>
      </c>
      <c r="N15" s="1" t="s">
        <v>113</v>
      </c>
    </row>
    <row r="16" spans="1:14" ht="43.5" customHeight="1">
      <c r="A16" s="1" t="s">
        <v>114</v>
      </c>
      <c r="B16" s="1" t="s">
        <v>115</v>
      </c>
      <c r="C16" s="1" t="s">
        <v>116</v>
      </c>
      <c r="D16" s="1" t="s">
        <v>117</v>
      </c>
      <c r="E16" s="1" t="s">
        <v>19</v>
      </c>
      <c r="F16" s="1">
        <v>5</v>
      </c>
      <c r="G16" s="1" t="s">
        <v>40</v>
      </c>
      <c r="H16" s="1" t="s">
        <v>21</v>
      </c>
      <c r="I16" s="1" t="s">
        <v>118</v>
      </c>
      <c r="J16" s="1" t="s">
        <v>23</v>
      </c>
      <c r="K16" s="1" t="s">
        <v>119</v>
      </c>
      <c r="L16" s="1" t="s">
        <v>120</v>
      </c>
      <c r="M16" s="1" t="s">
        <v>121</v>
      </c>
      <c r="N16" s="1" t="s">
        <v>122</v>
      </c>
    </row>
    <row r="17" spans="1:14" ht="43.5" customHeight="1">
      <c r="A17" s="1" t="s">
        <v>123</v>
      </c>
      <c r="B17" s="1" t="s">
        <v>115</v>
      </c>
      <c r="C17" s="1" t="s">
        <v>124</v>
      </c>
      <c r="D17" s="1" t="s">
        <v>125</v>
      </c>
      <c r="E17" s="1" t="s">
        <v>19</v>
      </c>
      <c r="F17" s="1">
        <v>5</v>
      </c>
      <c r="G17" s="1" t="s">
        <v>40</v>
      </c>
      <c r="H17" s="1" t="s">
        <v>21</v>
      </c>
      <c r="I17" s="1" t="s">
        <v>126</v>
      </c>
      <c r="J17" s="1" t="s">
        <v>23</v>
      </c>
      <c r="K17" s="1" t="s">
        <v>127</v>
      </c>
      <c r="L17" s="1" t="s">
        <v>128</v>
      </c>
      <c r="M17" s="1" t="s">
        <v>129</v>
      </c>
      <c r="N17" s="1" t="s">
        <v>130</v>
      </c>
    </row>
    <row r="18" spans="1:14" ht="43.5" customHeight="1">
      <c r="A18" s="1" t="s">
        <v>131</v>
      </c>
      <c r="B18" s="1" t="s">
        <v>132</v>
      </c>
      <c r="C18" s="1" t="s">
        <v>133</v>
      </c>
      <c r="D18" s="1" t="s">
        <v>134</v>
      </c>
      <c r="E18" s="1" t="s">
        <v>19</v>
      </c>
      <c r="F18" s="1">
        <v>8</v>
      </c>
      <c r="G18" s="1" t="s">
        <v>40</v>
      </c>
      <c r="H18" s="1" t="s">
        <v>31</v>
      </c>
      <c r="I18" s="1" t="s">
        <v>135</v>
      </c>
      <c r="J18" s="1" t="s">
        <v>23</v>
      </c>
      <c r="K18" s="1" t="s">
        <v>136</v>
      </c>
      <c r="L18" s="1" t="s">
        <v>137</v>
      </c>
      <c r="M18" s="1" t="s">
        <v>138</v>
      </c>
      <c r="N18" s="1" t="s">
        <v>139</v>
      </c>
    </row>
    <row r="19" spans="1:14" ht="43.5" customHeight="1">
      <c r="A19" s="1" t="s">
        <v>140</v>
      </c>
      <c r="B19" s="1" t="s">
        <v>132</v>
      </c>
      <c r="C19" s="1" t="s">
        <v>141</v>
      </c>
      <c r="D19" s="1" t="s">
        <v>142</v>
      </c>
      <c r="E19" s="1" t="s">
        <v>19</v>
      </c>
      <c r="F19" s="1">
        <v>5</v>
      </c>
      <c r="G19" s="1" t="s">
        <v>40</v>
      </c>
      <c r="H19" s="1" t="s">
        <v>21</v>
      </c>
      <c r="I19" s="1" t="s">
        <v>143</v>
      </c>
      <c r="J19" s="1" t="s">
        <v>23</v>
      </c>
      <c r="K19" s="1" t="s">
        <v>144</v>
      </c>
      <c r="L19" s="1" t="s">
        <v>145</v>
      </c>
      <c r="M19" s="1" t="s">
        <v>146</v>
      </c>
      <c r="N19" s="1" t="s">
        <v>147</v>
      </c>
    </row>
    <row r="20" spans="1:14" ht="43.5" customHeight="1">
      <c r="A20" s="1" t="s">
        <v>148</v>
      </c>
      <c r="B20" s="1" t="s">
        <v>149</v>
      </c>
      <c r="C20" s="1" t="s">
        <v>150</v>
      </c>
      <c r="D20" s="1" t="s">
        <v>151</v>
      </c>
      <c r="E20" s="1" t="s">
        <v>19</v>
      </c>
      <c r="F20" s="1">
        <v>8</v>
      </c>
      <c r="G20" s="1" t="s">
        <v>92</v>
      </c>
      <c r="H20" s="1" t="s">
        <v>31</v>
      </c>
      <c r="I20" s="1" t="s">
        <v>152</v>
      </c>
      <c r="J20" s="1" t="s">
        <v>23</v>
      </c>
      <c r="K20" s="1" t="s">
        <v>153</v>
      </c>
      <c r="L20" s="1" t="s">
        <v>154</v>
      </c>
      <c r="M20" s="1" t="s">
        <v>155</v>
      </c>
      <c r="N20" s="1" t="s">
        <v>156</v>
      </c>
    </row>
    <row r="21" spans="1:14" ht="43.5" customHeight="1">
      <c r="A21" s="1" t="s">
        <v>157</v>
      </c>
      <c r="B21" s="1" t="s">
        <v>158</v>
      </c>
      <c r="C21" s="1" t="s">
        <v>159</v>
      </c>
      <c r="D21" s="1" t="s">
        <v>160</v>
      </c>
      <c r="E21" s="1" t="s">
        <v>19</v>
      </c>
      <c r="F21" s="1">
        <v>3</v>
      </c>
      <c r="G21" s="1" t="s">
        <v>49</v>
      </c>
      <c r="H21" s="1" t="s">
        <v>161</v>
      </c>
      <c r="I21" s="1" t="s">
        <v>162</v>
      </c>
      <c r="J21" s="1" t="s">
        <v>163</v>
      </c>
      <c r="K21" s="1" t="s">
        <v>164</v>
      </c>
      <c r="L21" s="1" t="s">
        <v>165</v>
      </c>
      <c r="M21" s="1" t="s">
        <v>166</v>
      </c>
      <c r="N21" s="1" t="s">
        <v>167</v>
      </c>
    </row>
    <row r="22" spans="1:14" ht="43.5" customHeight="1">
      <c r="A22" s="1" t="s">
        <v>168</v>
      </c>
      <c r="B22" s="1" t="s">
        <v>115</v>
      </c>
      <c r="C22" s="1" t="s">
        <v>169</v>
      </c>
      <c r="D22" s="1" t="s">
        <v>170</v>
      </c>
      <c r="E22" s="1" t="s">
        <v>19</v>
      </c>
      <c r="F22" s="1">
        <v>8</v>
      </c>
      <c r="G22" s="1" t="s">
        <v>92</v>
      </c>
      <c r="H22" s="1" t="s">
        <v>21</v>
      </c>
      <c r="I22" s="1" t="s">
        <v>171</v>
      </c>
      <c r="J22" s="1" t="s">
        <v>163</v>
      </c>
      <c r="K22" s="1" t="s">
        <v>172</v>
      </c>
      <c r="L22" s="1" t="s">
        <v>173</v>
      </c>
      <c r="M22" s="1" t="s">
        <v>174</v>
      </c>
      <c r="N22" s="1" t="s">
        <v>175</v>
      </c>
    </row>
    <row r="23" spans="1:14" ht="43.5" customHeight="1">
      <c r="A23" s="1" t="s">
        <v>176</v>
      </c>
      <c r="B23" s="1" t="s">
        <v>177</v>
      </c>
      <c r="C23" s="1" t="s">
        <v>178</v>
      </c>
      <c r="D23" s="1" t="s">
        <v>179</v>
      </c>
      <c r="E23" s="1" t="s">
        <v>19</v>
      </c>
      <c r="F23" s="1">
        <v>5</v>
      </c>
      <c r="G23" s="1" t="s">
        <v>180</v>
      </c>
      <c r="H23" s="1" t="s">
        <v>161</v>
      </c>
      <c r="I23" s="1" t="s">
        <v>181</v>
      </c>
      <c r="J23" s="1" t="s">
        <v>163</v>
      </c>
      <c r="K23" s="1" t="s">
        <v>182</v>
      </c>
      <c r="L23" s="1" t="s">
        <v>183</v>
      </c>
      <c r="M23" s="1" t="s">
        <v>184</v>
      </c>
      <c r="N23" s="1" t="s">
        <v>185</v>
      </c>
    </row>
    <row r="24" spans="1:14" ht="43.5" customHeight="1">
      <c r="A24" s="12" t="s">
        <v>186</v>
      </c>
      <c r="B24" s="12" t="s">
        <v>187</v>
      </c>
      <c r="C24" s="12" t="s">
        <v>188</v>
      </c>
      <c r="D24" s="12" t="s">
        <v>189</v>
      </c>
      <c r="E24" s="12" t="s">
        <v>19</v>
      </c>
      <c r="F24" s="12">
        <v>5</v>
      </c>
      <c r="G24" s="12" t="s">
        <v>180</v>
      </c>
      <c r="H24" s="12" t="s">
        <v>21</v>
      </c>
      <c r="I24" s="12" t="s">
        <v>190</v>
      </c>
      <c r="J24" s="12" t="s">
        <v>163</v>
      </c>
      <c r="K24" s="12" t="s">
        <v>191</v>
      </c>
      <c r="L24" s="12" t="s">
        <v>192</v>
      </c>
      <c r="M24" s="12" t="s">
        <v>193</v>
      </c>
      <c r="N24" s="12" t="s">
        <v>194</v>
      </c>
    </row>
    <row r="25" spans="1:14" ht="67.5" customHeight="1">
      <c r="A25" s="10" t="s">
        <v>195</v>
      </c>
      <c r="B25" s="10" t="s">
        <v>72</v>
      </c>
      <c r="C25" s="10" t="s">
        <v>196</v>
      </c>
      <c r="D25" s="10" t="s">
        <v>197</v>
      </c>
      <c r="E25" s="12" t="s">
        <v>19</v>
      </c>
      <c r="F25" s="10" t="s">
        <v>198</v>
      </c>
      <c r="G25" s="10" t="s">
        <v>49</v>
      </c>
      <c r="H25" s="10" t="s">
        <v>21</v>
      </c>
      <c r="I25" s="10" t="s">
        <v>199</v>
      </c>
      <c r="J25" s="10" t="s">
        <v>23</v>
      </c>
      <c r="K25" s="10" t="s">
        <v>200</v>
      </c>
      <c r="L25" s="10" t="s">
        <v>201</v>
      </c>
      <c r="M25" s="10" t="s">
        <v>202</v>
      </c>
      <c r="N25" s="10" t="s">
        <v>203</v>
      </c>
    </row>
    <row r="26" spans="1:14" ht="70.5" customHeight="1">
      <c r="A26" s="10" t="s">
        <v>204</v>
      </c>
      <c r="B26" s="10" t="s">
        <v>89</v>
      </c>
      <c r="C26" s="10" t="s">
        <v>205</v>
      </c>
      <c r="D26" s="10" t="s">
        <v>206</v>
      </c>
      <c r="E26" s="12" t="s">
        <v>19</v>
      </c>
      <c r="F26" s="10" t="s">
        <v>198</v>
      </c>
      <c r="G26" s="10" t="s">
        <v>92</v>
      </c>
      <c r="H26" s="10" t="s">
        <v>31</v>
      </c>
      <c r="I26" s="10" t="s">
        <v>207</v>
      </c>
      <c r="J26" s="10" t="s">
        <v>23</v>
      </c>
      <c r="K26" s="10" t="s">
        <v>208</v>
      </c>
      <c r="L26" s="10" t="s">
        <v>209</v>
      </c>
      <c r="M26" s="10" t="s">
        <v>210</v>
      </c>
      <c r="N26" s="10" t="s">
        <v>211</v>
      </c>
    </row>
    <row r="27" spans="1:14" ht="69.95" customHeight="1">
      <c r="A27" s="43" t="s">
        <v>212</v>
      </c>
      <c r="B27" s="13" t="s">
        <v>213</v>
      </c>
      <c r="C27" s="13" t="s">
        <v>214</v>
      </c>
      <c r="D27" s="13" t="s">
        <v>215</v>
      </c>
      <c r="E27" s="12" t="s">
        <v>19</v>
      </c>
      <c r="F27" s="13" t="s">
        <v>198</v>
      </c>
      <c r="G27" s="13" t="s">
        <v>92</v>
      </c>
      <c r="H27" s="13" t="s">
        <v>31</v>
      </c>
      <c r="I27" s="13" t="s">
        <v>216</v>
      </c>
      <c r="J27" s="13" t="s">
        <v>23</v>
      </c>
      <c r="K27" s="13" t="s">
        <v>217</v>
      </c>
      <c r="L27" s="13" t="s">
        <v>218</v>
      </c>
      <c r="M27" s="13" t="s">
        <v>219</v>
      </c>
      <c r="N27" s="13" t="s">
        <v>220</v>
      </c>
    </row>
    <row r="28" spans="1:14" ht="69.95" customHeight="1">
      <c r="A28" s="11" t="s">
        <v>221</v>
      </c>
      <c r="B28" s="11" t="s">
        <v>222</v>
      </c>
      <c r="C28" s="11" t="s">
        <v>223</v>
      </c>
      <c r="D28" s="11" t="s">
        <v>224</v>
      </c>
      <c r="E28" s="12" t="s">
        <v>19</v>
      </c>
      <c r="F28" s="11" t="s">
        <v>198</v>
      </c>
      <c r="G28" s="11" t="s">
        <v>92</v>
      </c>
      <c r="H28" s="11" t="s">
        <v>21</v>
      </c>
      <c r="I28" s="11" t="s">
        <v>225</v>
      </c>
      <c r="J28" s="11" t="s">
        <v>23</v>
      </c>
      <c r="K28" s="11" t="s">
        <v>226</v>
      </c>
      <c r="L28" s="11" t="s">
        <v>227</v>
      </c>
      <c r="M28" s="11" t="s">
        <v>228</v>
      </c>
      <c r="N28" s="11" t="s">
        <v>229</v>
      </c>
    </row>
    <row r="29" spans="1:14" ht="84.75" customHeight="1">
      <c r="A29" s="10" t="s">
        <v>230</v>
      </c>
      <c r="B29" s="10" t="s">
        <v>149</v>
      </c>
      <c r="C29" s="10" t="s">
        <v>231</v>
      </c>
      <c r="D29" s="10" t="s">
        <v>232</v>
      </c>
      <c r="E29" s="12" t="s">
        <v>19</v>
      </c>
      <c r="F29" s="10" t="s">
        <v>198</v>
      </c>
      <c r="G29" s="10" t="s">
        <v>180</v>
      </c>
      <c r="H29" s="10" t="s">
        <v>31</v>
      </c>
      <c r="I29" s="10" t="s">
        <v>233</v>
      </c>
      <c r="J29" s="10" t="s">
        <v>23</v>
      </c>
      <c r="K29" s="10" t="s">
        <v>234</v>
      </c>
      <c r="L29" s="10" t="s">
        <v>235</v>
      </c>
      <c r="M29" s="10" t="s">
        <v>236</v>
      </c>
      <c r="N29" s="10" t="s">
        <v>237</v>
      </c>
    </row>
    <row r="30" spans="1:14" ht="87.75" customHeight="1">
      <c r="A30" s="10" t="s">
        <v>238</v>
      </c>
      <c r="B30" s="10" t="s">
        <v>37</v>
      </c>
      <c r="C30" s="10" t="s">
        <v>239</v>
      </c>
      <c r="D30" s="10" t="s">
        <v>240</v>
      </c>
      <c r="E30" s="12" t="s">
        <v>19</v>
      </c>
      <c r="F30" s="10" t="s">
        <v>198</v>
      </c>
      <c r="G30" s="10" t="s">
        <v>180</v>
      </c>
      <c r="H30" s="10" t="s">
        <v>21</v>
      </c>
      <c r="I30" s="10" t="s">
        <v>41</v>
      </c>
      <c r="J30" s="10" t="s">
        <v>23</v>
      </c>
      <c r="K30" s="10" t="s">
        <v>241</v>
      </c>
      <c r="L30" s="10" t="s">
        <v>242</v>
      </c>
      <c r="M30" s="10" t="s">
        <v>243</v>
      </c>
      <c r="N30" s="10" t="s">
        <v>244</v>
      </c>
    </row>
    <row r="31" spans="1:14" ht="69" customHeight="1">
      <c r="A31" s="32" t="s">
        <v>260</v>
      </c>
      <c r="B31" s="32" t="s">
        <v>261</v>
      </c>
      <c r="C31" s="32" t="s">
        <v>262</v>
      </c>
      <c r="D31" s="32" t="s">
        <v>263</v>
      </c>
      <c r="E31" s="12" t="s">
        <v>19</v>
      </c>
      <c r="F31" s="32" t="s">
        <v>198</v>
      </c>
      <c r="G31" s="32" t="s">
        <v>180</v>
      </c>
      <c r="H31" s="32" t="s">
        <v>21</v>
      </c>
      <c r="I31" s="32" t="s">
        <v>264</v>
      </c>
      <c r="J31" s="32" t="s">
        <v>163</v>
      </c>
      <c r="K31" s="32" t="s">
        <v>265</v>
      </c>
      <c r="L31" s="32" t="s">
        <v>266</v>
      </c>
      <c r="M31" s="32" t="s">
        <v>267</v>
      </c>
      <c r="N31" s="32" t="s">
        <v>268</v>
      </c>
    </row>
    <row r="32" spans="1:14" ht="63" customHeight="1">
      <c r="A32" s="10" t="s">
        <v>269</v>
      </c>
      <c r="B32" s="10" t="s">
        <v>261</v>
      </c>
      <c r="C32" s="10" t="s">
        <v>270</v>
      </c>
      <c r="D32" s="10" t="s">
        <v>271</v>
      </c>
      <c r="E32" s="12" t="s">
        <v>19</v>
      </c>
      <c r="F32" s="10" t="s">
        <v>198</v>
      </c>
      <c r="G32" s="10" t="s">
        <v>180</v>
      </c>
      <c r="H32" s="10" t="s">
        <v>31</v>
      </c>
      <c r="I32" s="10" t="s">
        <v>272</v>
      </c>
      <c r="J32" s="10" t="s">
        <v>163</v>
      </c>
      <c r="K32" s="10" t="s">
        <v>273</v>
      </c>
      <c r="L32" s="10" t="s">
        <v>274</v>
      </c>
      <c r="M32" s="10" t="s">
        <v>275</v>
      </c>
      <c r="N32" s="10" t="s">
        <v>276</v>
      </c>
    </row>
    <row r="33" spans="1:14" ht="55.5" customHeight="1">
      <c r="A33" s="10" t="s">
        <v>277</v>
      </c>
      <c r="B33" s="10" t="s">
        <v>261</v>
      </c>
      <c r="C33" s="10" t="s">
        <v>278</v>
      </c>
      <c r="D33" s="10" t="s">
        <v>279</v>
      </c>
      <c r="E33" s="42" t="s">
        <v>19</v>
      </c>
      <c r="F33" s="10" t="s">
        <v>198</v>
      </c>
      <c r="G33" s="10" t="s">
        <v>180</v>
      </c>
      <c r="H33" s="10" t="s">
        <v>21</v>
      </c>
      <c r="I33" s="10" t="s">
        <v>280</v>
      </c>
      <c r="J33" s="10" t="s">
        <v>163</v>
      </c>
      <c r="K33" s="10" t="s">
        <v>281</v>
      </c>
      <c r="L33" s="10" t="s">
        <v>282</v>
      </c>
      <c r="M33" s="10" t="s">
        <v>283</v>
      </c>
      <c r="N33" s="10" t="s">
        <v>284</v>
      </c>
    </row>
    <row r="34" spans="1:14" ht="22.5" customHeight="1"/>
    <row r="35" spans="1:14" ht="15" customHeight="1"/>
    <row r="36" spans="1:14" ht="15.75" hidden="1" customHeight="1"/>
    <row r="37" spans="1:14" ht="15.75" hidden="1" customHeight="1"/>
    <row r="38" spans="1:14" ht="15.75" hidden="1" customHeight="1"/>
    <row r="39" spans="1:14" ht="15.75" hidden="1" customHeight="1"/>
    <row r="40" spans="1:14" ht="15.75" customHeight="1"/>
    <row r="41" spans="1:14" ht="15.75" customHeight="1"/>
    <row r="42" spans="1:14" ht="18.75" customHeight="1"/>
    <row r="43" spans="1:14" ht="15.75" customHeight="1">
      <c r="B43" s="34" t="s">
        <v>285</v>
      </c>
      <c r="C43" s="33"/>
      <c r="D43" s="35"/>
    </row>
    <row r="44" spans="1:14" ht="15.75" customHeight="1">
      <c r="B44" s="36"/>
      <c r="C44" s="37"/>
      <c r="D44" s="38"/>
    </row>
    <row r="45" spans="1:14" ht="15.75" customHeight="1">
      <c r="B45" s="39"/>
      <c r="C45" s="40"/>
      <c r="D45" s="41"/>
    </row>
    <row r="46" spans="1:14" ht="15.75" customHeight="1"/>
    <row r="47" spans="1:14" ht="15.75" customHeight="1"/>
    <row r="48" spans="1:1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N1"/>
    <mergeCell ref="A2:N2"/>
    <mergeCell ref="B43:D45"/>
  </mergeCells>
  <conditionalFormatting sqref="E5:E33">
    <cfRule type="expression" dxfId="2" priority="1">
      <formula>E5="Done"</formula>
    </cfRule>
    <cfRule type="expression" dxfId="1" priority="2">
      <formula>E5="En progreso"</formula>
    </cfRule>
    <cfRule type="expression" dxfId="0" priority="3">
      <formula>E5="Pendiente"</formula>
    </cfRule>
  </conditionalFormatting>
  <dataValidations count="5">
    <dataValidation type="list" allowBlank="1" sqref="H5:H24" xr:uid="{00000000-0002-0000-0000-000000000000}">
      <formula1>"Crítica,Alta,Media,Baja"</formula1>
    </dataValidation>
    <dataValidation type="custom" allowBlank="1" showDropDown="1" sqref="F5:F24" xr:uid="{00000000-0002-0000-0000-000001000000}">
      <formula1>AND(ISNUMBER(F5),(NOT(OR(NOT(ISERROR(DATEVALUE(F5))), AND(ISNUMBER(F5), LEFT(CELL("format", F5))="D")))))</formula1>
    </dataValidation>
    <dataValidation type="list" allowBlank="1" showDropDown="1" showErrorMessage="1" sqref="J5:J24" xr:uid="{00000000-0002-0000-0000-000002000000}">
      <formula1>"MVP,Objetivo"</formula1>
    </dataValidation>
    <dataValidation type="list" allowBlank="1" showDropDown="1" showErrorMessage="1" sqref="G5:G24" xr:uid="{00000000-0002-0000-0000-000003000000}">
      <formula1>"Sprint 3,Sprint 4,Sprint 5,Sprint 6,Sprint 7"</formula1>
    </dataValidation>
    <dataValidation type="list" allowBlank="1" sqref="E5:E33" xr:uid="{00000000-0002-0000-0000-000004000000}">
      <formula1>"Done,En progreso,Pendiente"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tabSelected="1" workbookViewId="0">
      <selection activeCell="A24" sqref="A24:F27"/>
    </sheetView>
  </sheetViews>
  <sheetFormatPr baseColWidth="10" defaultColWidth="12.625" defaultRowHeight="14.25"/>
  <cols>
    <col min="1" max="1" width="24" customWidth="1"/>
    <col min="2" max="2" width="35.125" customWidth="1"/>
    <col min="3" max="3" width="8.625" customWidth="1"/>
    <col min="4" max="4" width="10.375" customWidth="1"/>
    <col min="5" max="5" width="8.625" customWidth="1"/>
    <col min="6" max="6" width="19.125" customWidth="1"/>
  </cols>
  <sheetData>
    <row r="1" spans="1:6" ht="57" customHeight="1">
      <c r="A1" s="16" t="s">
        <v>286</v>
      </c>
      <c r="B1" s="17"/>
      <c r="C1" s="17"/>
      <c r="D1" s="17"/>
      <c r="E1" s="17"/>
      <c r="F1" s="17"/>
    </row>
    <row r="3" spans="1:6" ht="30">
      <c r="A3" s="2" t="s">
        <v>245</v>
      </c>
      <c r="B3" s="2" t="s">
        <v>246</v>
      </c>
      <c r="C3" s="3"/>
      <c r="D3" s="4" t="s">
        <v>5</v>
      </c>
      <c r="E3" s="4" t="s">
        <v>247</v>
      </c>
      <c r="F3" s="3"/>
    </row>
    <row r="4" spans="1:6">
      <c r="A4" s="1" t="s">
        <v>248</v>
      </c>
      <c r="B4" s="1">
        <v>29</v>
      </c>
      <c r="C4" s="3"/>
      <c r="D4" s="5" t="s">
        <v>19</v>
      </c>
      <c r="E4" s="5">
        <f t="shared" ref="E4:E6" si="0">B6</f>
        <v>29</v>
      </c>
      <c r="F4" s="3"/>
    </row>
    <row r="5" spans="1:6" ht="28.5">
      <c r="A5" s="1" t="s">
        <v>249</v>
      </c>
      <c r="B5" s="1">
        <v>105</v>
      </c>
      <c r="C5" s="3"/>
      <c r="D5" s="5" t="s">
        <v>250</v>
      </c>
      <c r="E5" s="5">
        <f t="shared" si="0"/>
        <v>0</v>
      </c>
      <c r="F5" s="3"/>
    </row>
    <row r="6" spans="1:6">
      <c r="A6" s="1" t="s">
        <v>19</v>
      </c>
      <c r="B6" s="1">
        <v>29</v>
      </c>
      <c r="C6" s="3"/>
      <c r="D6" s="5" t="s">
        <v>251</v>
      </c>
      <c r="E6" s="5">
        <f t="shared" si="0"/>
        <v>0</v>
      </c>
      <c r="F6" s="3"/>
    </row>
    <row r="7" spans="1:6">
      <c r="A7" s="1" t="s">
        <v>250</v>
      </c>
      <c r="B7" s="1">
        <v>0</v>
      </c>
      <c r="C7" s="3"/>
      <c r="D7" s="3"/>
      <c r="E7" s="3"/>
      <c r="F7" s="3"/>
    </row>
    <row r="8" spans="1:6">
      <c r="A8" s="5" t="s">
        <v>251</v>
      </c>
      <c r="B8" s="5">
        <v>0</v>
      </c>
      <c r="C8" s="3"/>
      <c r="D8" s="3" t="s">
        <v>7</v>
      </c>
      <c r="E8" s="3" t="s">
        <v>247</v>
      </c>
      <c r="F8" s="3"/>
    </row>
    <row r="9" spans="1:6" ht="29.25">
      <c r="A9" s="5" t="s">
        <v>252</v>
      </c>
      <c r="B9" s="5">
        <v>105</v>
      </c>
      <c r="C9" s="3"/>
      <c r="D9" s="4" t="s">
        <v>20</v>
      </c>
      <c r="E9" s="4">
        <v>2</v>
      </c>
      <c r="F9" s="4"/>
    </row>
    <row r="10" spans="1:6">
      <c r="A10" s="5" t="s">
        <v>253</v>
      </c>
      <c r="B10" s="6">
        <v>1</v>
      </c>
      <c r="C10" s="3"/>
      <c r="D10" s="5" t="s">
        <v>40</v>
      </c>
      <c r="E10" s="5">
        <v>5</v>
      </c>
      <c r="F10" s="5"/>
    </row>
    <row r="11" spans="1:6">
      <c r="A11" s="5" t="s">
        <v>254</v>
      </c>
      <c r="B11" s="5">
        <v>22</v>
      </c>
      <c r="C11" s="3"/>
      <c r="D11" s="5" t="s">
        <v>49</v>
      </c>
      <c r="E11" s="5">
        <v>7</v>
      </c>
      <c r="F11" s="5"/>
    </row>
    <row r="12" spans="1:6">
      <c r="A12" s="5" t="s">
        <v>255</v>
      </c>
      <c r="B12" s="5">
        <v>7</v>
      </c>
      <c r="C12" s="3"/>
      <c r="D12" s="5" t="s">
        <v>92</v>
      </c>
      <c r="E12" s="5">
        <v>8</v>
      </c>
      <c r="F12" s="5"/>
    </row>
    <row r="13" spans="1:6">
      <c r="A13" s="3"/>
      <c r="B13" s="3"/>
      <c r="C13" s="3"/>
      <c r="D13" s="5" t="s">
        <v>180</v>
      </c>
      <c r="E13" s="5">
        <v>7</v>
      </c>
      <c r="F13" s="5"/>
    </row>
    <row r="14" spans="1:6">
      <c r="A14" s="3"/>
      <c r="B14" s="3"/>
      <c r="C14" s="3"/>
      <c r="D14" s="5" t="s">
        <v>256</v>
      </c>
      <c r="E14" s="5">
        <v>29</v>
      </c>
      <c r="F14" s="5"/>
    </row>
    <row r="15" spans="1:6" ht="15">
      <c r="A15" s="18" t="s">
        <v>257</v>
      </c>
      <c r="B15" s="19"/>
      <c r="C15" s="3"/>
      <c r="D15" s="5"/>
      <c r="E15" s="5" t="str">
        <f t="shared" ref="E15:F15" si="1">""</f>
        <v/>
      </c>
      <c r="F15" s="5" t="str">
        <f t="shared" si="1"/>
        <v/>
      </c>
    </row>
    <row r="16" spans="1:6">
      <c r="A16" s="20" t="s">
        <v>287</v>
      </c>
      <c r="B16" s="21"/>
      <c r="C16" s="7"/>
      <c r="D16" s="7"/>
      <c r="E16" s="7"/>
      <c r="F16" s="7"/>
    </row>
    <row r="17" spans="1:6">
      <c r="A17" s="22"/>
      <c r="B17" s="23"/>
      <c r="C17" s="7"/>
      <c r="D17" s="7"/>
      <c r="E17" s="7"/>
      <c r="F17" s="7"/>
    </row>
    <row r="18" spans="1:6">
      <c r="A18" s="22"/>
      <c r="B18" s="23"/>
      <c r="C18" s="7"/>
      <c r="D18" s="7"/>
      <c r="E18" s="7"/>
      <c r="F18" s="7"/>
    </row>
    <row r="19" spans="1:6">
      <c r="A19" s="22"/>
      <c r="B19" s="23"/>
      <c r="C19" s="7"/>
      <c r="D19" s="7"/>
      <c r="E19" s="7"/>
      <c r="F19" s="7"/>
    </row>
    <row r="20" spans="1:6">
      <c r="A20" s="22"/>
      <c r="B20" s="23"/>
      <c r="C20" s="7"/>
      <c r="D20" s="7"/>
      <c r="E20" s="7"/>
      <c r="F20" s="7"/>
    </row>
    <row r="21" spans="1:6" ht="50.25" customHeight="1">
      <c r="A21" s="24"/>
      <c r="B21" s="25"/>
    </row>
    <row r="22" spans="1:6" ht="15.75" customHeight="1"/>
    <row r="23" spans="1:6" ht="15.75" customHeight="1">
      <c r="A23" s="26" t="s">
        <v>258</v>
      </c>
      <c r="B23" s="27"/>
      <c r="C23" s="27"/>
      <c r="D23" s="27"/>
      <c r="E23" s="27"/>
      <c r="F23" s="19"/>
    </row>
    <row r="24" spans="1:6" ht="15.75" customHeight="1">
      <c r="A24" s="20" t="s">
        <v>288</v>
      </c>
      <c r="B24" s="28"/>
      <c r="C24" s="28"/>
      <c r="D24" s="28"/>
      <c r="E24" s="28"/>
      <c r="F24" s="21"/>
    </row>
    <row r="25" spans="1:6" ht="15.75" customHeight="1">
      <c r="A25" s="29"/>
      <c r="B25" s="15"/>
      <c r="C25" s="15"/>
      <c r="D25" s="15"/>
      <c r="E25" s="15"/>
      <c r="F25" s="30"/>
    </row>
    <row r="26" spans="1:6" ht="15.75" customHeight="1">
      <c r="A26" s="29"/>
      <c r="B26" s="15"/>
      <c r="C26" s="15"/>
      <c r="D26" s="15"/>
      <c r="E26" s="15"/>
      <c r="F26" s="30"/>
    </row>
    <row r="27" spans="1:6" ht="15.75" customHeight="1">
      <c r="A27" s="24"/>
      <c r="B27" s="31"/>
      <c r="C27" s="31"/>
      <c r="D27" s="31"/>
      <c r="E27" s="31"/>
      <c r="F27" s="25"/>
    </row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F1"/>
    <mergeCell ref="A15:B15"/>
    <mergeCell ref="A16:B21"/>
    <mergeCell ref="A23:F23"/>
    <mergeCell ref="A24:F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 Backlog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IMPUS CHILE</cp:lastModifiedBy>
  <dcterms:modified xsi:type="dcterms:W3CDTF">2026-09-23T18:13:19Z</dcterms:modified>
</cp:coreProperties>
</file>