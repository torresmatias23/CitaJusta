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960" tabRatio="600" firstSheet="0" activeTab="2" autoFilterDateGrouping="1"/>
  </bookViews>
  <sheets>
    <sheet xmlns:r="http://schemas.openxmlformats.org/officeDocument/2006/relationships" name="Sprint Backlog" sheetId="1" state="visible" r:id="rId1"/>
    <sheet xmlns:r="http://schemas.openxmlformats.org/officeDocument/2006/relationships" name="Control Diario" sheetId="2" state="visible" r:id="rId2"/>
    <sheet xmlns:r="http://schemas.openxmlformats.org/officeDocument/2006/relationships" name="Resumen Sprint" sheetId="3" state="visible" r:id="rId3"/>
    <sheet xmlns:r="http://schemas.openxmlformats.org/officeDocument/2006/relationships" name="Estado documental 16-1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rlito"/>
      <color rgb="FF000000"/>
      <sz val="11"/>
    </font>
    <font>
      <name val="Carlito"/>
      <b val="1"/>
      <color rgb="FFFFFFFF"/>
      <sz val="16"/>
    </font>
    <font>
      <name val="Carlito"/>
      <sz val="11"/>
    </font>
    <font>
      <name val="Carlito"/>
      <b val="1"/>
      <color rgb="FFFFFFFF"/>
      <sz val="15"/>
    </font>
    <font>
      <name val="Carlito"/>
      <color theme="1"/>
      <sz val="11"/>
    </font>
    <font>
      <name val="Carlito"/>
      <b val="1"/>
      <color rgb="FF1F1F1F"/>
      <sz val="11"/>
    </font>
    <font>
      <name val="Carlito"/>
      <color rgb="FF000000"/>
      <sz val="11"/>
    </font>
    <font>
      <name val="Carlito"/>
      <color theme="1"/>
      <sz val="11"/>
    </font>
    <font>
      <name val="Carlito"/>
      <b val="1"/>
      <color theme="1"/>
      <sz val="11"/>
    </font>
    <font>
      <name val="Carlito"/>
      <b val="1"/>
      <color rgb="FF000000"/>
      <sz val="11"/>
    </font>
    <font>
      <name val="Carlito"/>
      <color theme="1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F7F9FB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9" tint="0.7999206518753624"/>
        <bgColor indexed="65"/>
      </patternFill>
    </fill>
    <fill>
      <patternFill patternType="solid">
        <fgColor rgb="0017365D"/>
      </patternFill>
    </fill>
    <fill>
      <patternFill patternType="solid">
        <fgColor rgb="00EEF5F7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6" fillId="0" borderId="0"/>
  </cellStyleXfs>
  <cellXfs count="80">
    <xf numFmtId="0" fontId="0" fillId="0" borderId="0" pivotButton="0" quotePrefix="0" xfId="0"/>
    <xf numFmtId="0" fontId="5" fillId="4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4" fillId="0" borderId="4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wrapText="1"/>
    </xf>
    <xf numFmtId="0" fontId="9" fillId="4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7" fillId="0" borderId="4" applyAlignment="1" pivotButton="0" quotePrefix="0" xfId="0">
      <alignment wrapText="1"/>
    </xf>
    <xf numFmtId="0" fontId="7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vertical="top" wrapText="1"/>
    </xf>
    <xf numFmtId="0" fontId="8" fillId="7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vertical="center" wrapText="1"/>
    </xf>
    <xf numFmtId="0" fontId="0" fillId="0" borderId="13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5" applyAlignment="1" pivotButton="0" quotePrefix="0" xfId="0">
      <alignment vertical="center" wrapText="1"/>
    </xf>
    <xf numFmtId="0" fontId="10" fillId="0" borderId="15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0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wrapText="1"/>
    </xf>
    <xf numFmtId="0" fontId="9" fillId="6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9" fillId="6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wrapText="1"/>
    </xf>
    <xf numFmtId="0" fontId="2" fillId="0" borderId="8" pivotButton="0" quotePrefix="0" xfId="0"/>
    <xf numFmtId="0" fontId="2" fillId="0" borderId="9" pivotButton="0" quotePrefix="0" xfId="0"/>
    <xf numFmtId="0" fontId="2" fillId="0" borderId="5" pivotButton="0" quotePrefix="0" xfId="0"/>
    <xf numFmtId="0" fontId="2" fillId="0" borderId="10" pivotButton="0" quotePrefix="0" xfId="0"/>
    <xf numFmtId="0" fontId="0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0">
      <alignment wrapText="1"/>
    </xf>
    <xf numFmtId="0" fontId="3" fillId="2" borderId="4" applyAlignment="1" pivotButton="0" quotePrefix="0" xfId="0">
      <alignment horizontal="center" vertical="center"/>
    </xf>
    <xf numFmtId="0" fontId="0" fillId="5" borderId="4" applyAlignment="1" pivotButton="0" quotePrefix="0" xfId="0">
      <alignment wrapText="1"/>
    </xf>
    <xf numFmtId="0" fontId="9" fillId="6" borderId="4" applyAlignment="1" pivotButton="0" quotePrefix="0" xfId="0">
      <alignment vertical="center" wrapText="1"/>
    </xf>
    <xf numFmtId="0" fontId="9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0" fillId="0" borderId="7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9" fillId="6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12" pivotButton="0" quotePrefix="0" xfId="0"/>
    <xf numFmtId="0" fontId="11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7">
    <dxf>
      <fill>
        <patternFill>
          <bgColor rgb="FFF4CCCC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E2F0D9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CL">
                <a:solidFill>
                  <a:srgbClr val="757575"/>
                </a:solidFill>
                <a:latin typeface="+mn-lt"/>
                <a:ea typeface="+mn-lt"/>
                <a:cs typeface="+mn-lt"/>
              </a:rPr>
              <a:t>Estado de tareas del Sprint</a:t>
            </a:r>
          </a:p>
        </rich>
      </tx>
      <overlay val="1"/>
    </title>
    <plotArea>
      <layout/>
      <barChart>
        <barDir val="col"/>
        <grouping val="clustered"/>
        <varyColors val="0"/>
        <ser>
          <idx val="0"/>
          <order val="0"/>
          <tx>
            <v>Tareas</v>
          </tx>
          <spPr>
            <a:solidFill xmlns:a="http://schemas.openxmlformats.org/drawingml/2006/main">
              <a:srgbClr val="156082"/>
            </a:solidFill>
            <a:ln xmlns:a="http://schemas.openxmlformats.org/drawingml/2006/main" cmpd="sng">
              <a:noFill/>
              <a:prstDash val="solid"/>
            </a:ln>
          </spPr>
          <invertIfNegative val="1"/>
          <val>
            <numRef>
              <f>'Resumen Sprint'!$E$4:$E$6</f>
              <numCache>
                <formatCode>General</formatCode>
                <ptCount val="3"/>
                <pt idx="0">
                  <v>3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29487642"/>
        <axId val="1417177405"/>
      </barChart>
      <catAx>
        <axId val="132948764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r>
                  <a:t/>
                </a:r>
              </a:p>
            </rich>
          </tx>
          <overlay val="1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/>
              </a:r>
              <a:endParaRPr lang="es-CL"/>
            </a:p>
          </txPr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  <a:endParaRPr lang="es-CL"/>
          </a:p>
        </txPr>
        <crossAx val="1417177405"/>
        <crosses val="autoZero"/>
        <auto val="1"/>
        <lblAlgn val="ctr"/>
        <lblOffset val="100"/>
        <noMultiLvlLbl val="0"/>
      </catAx>
      <valAx>
        <axId val="141717740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r>
                  <a:t/>
                </a:r>
              </a:p>
            </rich>
          </tx>
          <overlay val="1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/>
              </a:r>
              <a:endParaRPr lang="es-CL"/>
            </a:p>
          </txPr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  <a:endParaRPr lang="es-CL"/>
          </a:p>
        </txPr>
        <crossAx val="1329487642"/>
        <crosses val="autoZero"/>
        <crossBetween val="between"/>
      </valAx>
    </plotArea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800100</colOff>
      <row>8</row>
      <rowOff>66675</rowOff>
    </from>
    <ext cx="7296150" cy="3619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_1" displayName="Tabla_1" ref="A12:N15" headerRowCount="1" headerRowBorderDxfId="6">
  <tableColumns count="14">
    <tableColumn id="1" name="PBI / HU"/>
    <tableColumn id="2" name="Tarea ID"/>
    <tableColumn id="3" name="Tarea / actividad"/>
    <tableColumn id="4" name="Tipo"/>
    <tableColumn id="5" name="Prioridad"/>
    <tableColumn id="6" name="Estimación (h)"/>
    <tableColumn id="7" name="Responsable"/>
    <tableColumn id="8" name="Estado"/>
    <tableColumn id="9" name="Dependencias / impedimentos"/>
    <tableColumn id="10" name="Criterio de término"/>
    <tableColumn id="11" name="Rama / PR"/>
    <tableColumn id="12" name="Día consumido"/>
    <tableColumn id="13" name="Horas reales"/>
    <tableColumn id="14" name="Notas"/>
  </tableColumns>
  <tableStyleInfo name="Sprint Backlog-style" showFirstColumn="1" showLastColumn="1" showRowStripes="1" showColumnStripes="0"/>
</table>
</file>

<file path=xl/tables/table2.xml><?xml version="1.0" encoding="utf-8"?>
<table xmlns="http://schemas.openxmlformats.org/spreadsheetml/2006/main" id="2" name="Tabla_2" displayName="Tabla_2" ref="B5:P13" headerRowCount="1" headerRowBorderDxfId="5">
  <tableColumns count="15">
    <tableColumn id="1" name="Tarea"/>
    <tableColumn id="2" name="Horas estimadas"/>
    <tableColumn id="3" name="Día 1 Cons."/>
    <tableColumn id="4" name="Día 1 Rest."/>
    <tableColumn id="5" name="Día 2 Cons."/>
    <tableColumn id="6" name="Día 2 Rest."/>
    <tableColumn id="7" name="Día 3 Cons."/>
    <tableColumn id="8" name="Día 3 Rest."/>
    <tableColumn id="9" name="Día 4 Cons."/>
    <tableColumn id="10" name="Día 4 Rest."/>
    <tableColumn id="11" name="Día 5 Cons."/>
    <tableColumn id="12" name="Día 5 Rest."/>
    <tableColumn id="13" name="Total consumido"/>
    <tableColumn id="14" name="Restante final"/>
    <tableColumn id="15" name="Observación"/>
  </tableColumns>
  <tableStyleInfo name="Control Di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F18" sqref="F18"/>
    </sheetView>
  </sheetViews>
  <sheetFormatPr baseColWidth="10" defaultColWidth="12.625" defaultRowHeight="14.25"/>
  <cols>
    <col width="22.625" customWidth="1" style="46" min="1" max="1"/>
    <col width="12" customWidth="1" style="46" min="2" max="2"/>
    <col width="46" customWidth="1" style="46" min="3" max="3"/>
    <col width="14" customWidth="1" style="46" min="4" max="4"/>
    <col width="15.75" customWidth="1" style="46" min="5" max="5"/>
    <col width="19.5" customWidth="1" style="46" min="6" max="6"/>
    <col width="21.75" customWidth="1" style="46" min="7" max="7"/>
    <col width="14" customWidth="1" style="46" min="8" max="8"/>
    <col width="38" customWidth="1" style="46" min="9" max="9"/>
    <col width="42" customWidth="1" style="46" min="10" max="10"/>
    <col width="34" customWidth="1" style="46" min="11" max="11"/>
    <col width="14" customWidth="1" style="46" min="12" max="13"/>
    <col width="46" customWidth="1" style="46" min="14" max="14"/>
  </cols>
  <sheetData>
    <row r="1" ht="27.75" customHeight="1" s="46">
      <c r="A1" s="58" t="inlineStr">
        <is>
          <t>CITAJUSTA SPRINT BACKLOG — SPRINT 7 EN PROGRESO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60" t="n"/>
    </row>
    <row r="2" ht="37.5" customHeight="1" s="46">
      <c r="A2" s="61" t="inlineStr">
        <is>
          <t>Versión 1.6 · 23-09-2026 · Sprint 7 activo · HU-027, HU-028 y HU-029 completadas y mergeadas a main · siguiente PBI Desktop pendiente de refinamiento.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60" t="n"/>
    </row>
    <row r="4" ht="15" customHeight="1" s="46">
      <c r="A4" s="1" t="inlineStr">
        <is>
          <t>Campo</t>
        </is>
      </c>
      <c r="B4" s="1" t="inlineStr">
        <is>
          <t>Valor</t>
        </is>
      </c>
      <c r="C4" s="59" t="n"/>
      <c r="D4" s="60" t="n"/>
    </row>
    <row r="5">
      <c r="A5" s="3" t="inlineStr">
        <is>
          <t>Sprint</t>
        </is>
      </c>
      <c r="B5" s="5" t="inlineStr">
        <is>
          <t>7</t>
        </is>
      </c>
      <c r="C5" s="59" t="n"/>
      <c r="D5" s="60" t="n"/>
    </row>
    <row r="6">
      <c r="A6" s="3" t="inlineStr">
        <is>
          <t>Estado</t>
        </is>
      </c>
      <c r="B6" s="5" t="inlineStr">
        <is>
          <t>En progreso</t>
        </is>
      </c>
      <c r="C6" s="59" t="n"/>
      <c r="D6" s="60" t="n"/>
    </row>
    <row r="7">
      <c r="A7" s="3" t="inlineStr">
        <is>
          <t>Fecha de corte</t>
        </is>
      </c>
      <c r="B7" s="5" t="inlineStr">
        <is>
          <t>23-09-2026</t>
        </is>
      </c>
      <c r="C7" s="59" t="n"/>
      <c r="D7" s="60" t="n"/>
    </row>
    <row r="8">
      <c r="A8" s="3" t="inlineStr">
        <is>
          <t>Responsables</t>
        </is>
      </c>
      <c r="B8" s="5" t="inlineStr">
        <is>
          <t>Equipo CitaJusta</t>
        </is>
      </c>
      <c r="C8" s="59" t="n"/>
      <c r="D8" s="60" t="n"/>
    </row>
    <row r="9">
      <c r="A9" s="13" t="inlineStr">
        <is>
          <t>Observación</t>
        </is>
      </c>
      <c r="B9" s="13" t="inlineStr">
        <is>
          <t>Sprint 7 está en progreso. HU-027, HU-028 y HU-029 están Done. HU-019/HU-020 backend ya estaban implementadas como prerrequisitos institucionales. El siguiente PBI Desktop no se agrega hasta su refinamiento; no se reconstruyen horas ni se altera el Burndown histórico de Sprint 6.</t>
        </is>
      </c>
      <c r="C9" s="59" t="n"/>
      <c r="D9" s="60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 ht="22.5" customHeight="1" s="46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22.5" customHeight="1" s="46">
      <c r="A11" s="15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 ht="36" customHeight="1" s="46">
      <c r="A12" s="17" t="inlineStr">
        <is>
          <t>PBI / HU</t>
        </is>
      </c>
      <c r="B12" s="17" t="inlineStr">
        <is>
          <t>Tarea ID</t>
        </is>
      </c>
      <c r="C12" s="17" t="inlineStr">
        <is>
          <t>Tarea / actividad</t>
        </is>
      </c>
      <c r="D12" s="17" t="inlineStr">
        <is>
          <t>Tipo</t>
        </is>
      </c>
      <c r="E12" s="17" t="inlineStr">
        <is>
          <t>Prioridad</t>
        </is>
      </c>
      <c r="F12" s="17" t="inlineStr">
        <is>
          <t>Estimación (h)</t>
        </is>
      </c>
      <c r="G12" s="17" t="inlineStr">
        <is>
          <t>Responsable</t>
        </is>
      </c>
      <c r="H12" s="17" t="inlineStr">
        <is>
          <t>Estado</t>
        </is>
      </c>
      <c r="I12" s="17" t="inlineStr">
        <is>
          <t>Dependencias / impedimentos</t>
        </is>
      </c>
      <c r="J12" s="17" t="inlineStr">
        <is>
          <t>Criterio de término</t>
        </is>
      </c>
      <c r="K12" s="17" t="inlineStr">
        <is>
          <t>Rama / PR</t>
        </is>
      </c>
      <c r="L12" s="17" t="inlineStr">
        <is>
          <t>Día consumido</t>
        </is>
      </c>
      <c r="M12" s="17" t="inlineStr">
        <is>
          <t>Horas reales</t>
        </is>
      </c>
      <c r="N12" s="17" t="inlineStr">
        <is>
          <t>Notas</t>
        </is>
      </c>
    </row>
    <row r="13" ht="48" customHeight="1" s="46">
      <c r="A13" s="16" t="inlineStr">
        <is>
          <t>HU-027</t>
        </is>
      </c>
      <c r="B13" s="16" t="inlineStr">
        <is>
          <t>S7-T01</t>
        </is>
      </c>
      <c r="C13" s="16" t="inlineStr">
        <is>
          <t>Inicializar aplicación Desktop institucional con Tauri</t>
        </is>
      </c>
      <c r="D13" s="16" t="inlineStr">
        <is>
          <t>Desktop / Fundación</t>
        </is>
      </c>
      <c r="E13" s="16" t="inlineStr">
        <is>
          <t>Alta</t>
        </is>
      </c>
      <c r="F13" s="16" t="n"/>
      <c r="G13" s="16" t="inlineStr">
        <is>
          <t>Equipo CitaJusta</t>
        </is>
      </c>
      <c r="H13" s="16" t="inlineStr">
        <is>
          <t>Done</t>
        </is>
      </c>
      <c r="I13" s="16" t="inlineStr">
        <is>
          <t>Monorepo + API existente</t>
        </is>
      </c>
      <c r="J13" s="16" t="inlineStr">
        <is>
          <t>apps/desktop compila y abre como cliente nativo; shell institucional preparada sin lógica de negocio duplicada</t>
        </is>
      </c>
      <c r="K13" s="16" t="inlineStr">
        <is>
          <t>feat/desktop-tauri-foundation · PR #112 · merge 6adab82</t>
        </is>
      </c>
      <c r="L13" s="16" t="n"/>
      <c r="M13" s="16" t="n"/>
      <c r="N13" s="16" t="inlineStr">
        <is>
          <t>Commit 01ff1b1. Build frontend y cargo check PASS; ejecución nativa validada.</t>
        </is>
      </c>
    </row>
    <row r="14" ht="48" customHeight="1" s="46">
      <c r="A14" s="3" t="inlineStr">
        <is>
          <t>HU-028</t>
        </is>
      </c>
      <c r="B14" s="3" t="inlineStr">
        <is>
          <t>S7-T02</t>
        </is>
      </c>
      <c r="C14" s="3" t="inlineStr">
        <is>
          <t>Implementar autenticación Desktop y cliente compartido</t>
        </is>
      </c>
      <c r="D14" s="3" t="inlineStr">
        <is>
          <t>Desktop / Integración</t>
        </is>
      </c>
      <c r="E14" s="3" t="inlineStr">
        <is>
          <t>Crítica</t>
        </is>
      </c>
      <c r="F14" s="3" t="n"/>
      <c r="G14" s="3" t="inlineStr">
        <is>
          <t>Equipo CitaJusta</t>
        </is>
      </c>
      <c r="H14" s="3" t="inlineStr">
        <is>
          <t>Done</t>
        </is>
      </c>
      <c r="I14" s="3" t="inlineStr">
        <is>
          <t>HU-027 + Auth API</t>
        </is>
      </c>
      <c r="J14" s="3" t="inlineStr">
        <is>
          <t>Login/logout reales, contexto institucional y cliente compartido sin persistencia insegura de tokens</t>
        </is>
      </c>
      <c r="K14" s="3" t="inlineStr">
        <is>
          <t>feat/desktop-auth-api · PR #113 · merge ae151b3</t>
        </is>
      </c>
      <c r="L14" s="3" t="n"/>
      <c r="M14" s="3" t="n"/>
      <c r="N14" s="3" t="inlineStr">
        <is>
          <t>Web 95/95; Desktop 7/7; client-core 2/2; build/cargo PASS; login/logout manual PASS.</t>
        </is>
      </c>
    </row>
    <row r="15" ht="48" customHeight="1" s="46">
      <c r="A15" s="3" t="inlineStr">
        <is>
          <t>HU-029</t>
        </is>
      </c>
      <c r="B15" s="3" t="inlineStr">
        <is>
          <t>S7-T03</t>
        </is>
      </c>
      <c r="C15" s="3" t="inlineStr">
        <is>
          <t>Gestionar sedes y servicios desde Desktop</t>
        </is>
      </c>
      <c r="D15" s="3" t="inlineStr">
        <is>
          <t>Desktop / Backend / Integración</t>
        </is>
      </c>
      <c r="E15" s="3" t="inlineStr">
        <is>
          <t>Alta</t>
        </is>
      </c>
      <c r="F15" s="3" t="n"/>
      <c r="G15" s="3" t="inlineStr">
        <is>
          <t>Equipo CitaJusta</t>
        </is>
      </c>
      <c r="H15" s="3" t="inlineStr">
        <is>
          <t>Done</t>
        </is>
      </c>
      <c r="I15" s="3" t="inlineStr">
        <is>
          <t>HU-012 + HU-028 + RBAC</t>
        </is>
      </c>
      <c r="J15" s="3" t="inlineStr">
        <is>
          <t>Lecturas administrativas y CRUD institucional respetan tenant/scope; categorías y branchIds reales; GET públicos sin regresión</t>
        </is>
      </c>
      <c r="K15" s="3" t="inlineStr">
        <is>
          <t>feat/desktop-branch-service-management · commit f58c742 · merge e1cdb2e</t>
        </is>
      </c>
      <c r="L15" s="3" t="n"/>
      <c r="M15" s="3" t="n"/>
      <c r="N15" s="3" t="inlineStr">
        <is>
          <t>API 394/394; backend 34/34; E2E 15/15; Web 95/95; Desktop 16/16; client-core 4/4; prueba manual CRUD Tauri PASS.</t>
        </is>
      </c>
    </row>
    <row r="16" ht="48" customHeight="1" s="46"/>
    <row r="17" ht="48" customHeight="1" s="46"/>
    <row r="18" ht="48" customHeight="1" s="46"/>
    <row r="19" ht="48" customHeight="1" s="46">
      <c r="A19" s="5" t="inlineStr">
        <is>
          <t>SIGUIENTE PBI DE SPRINT 7: pendiente de refinamiento. No se documenta HU-030 hasta definir alcance y criterios con evidencia real.</t>
        </is>
      </c>
      <c r="B19" s="59" t="n"/>
      <c r="C19" s="59" t="n"/>
      <c r="D19" s="59" t="n"/>
      <c r="E19" s="60" t="n"/>
    </row>
    <row r="20" ht="85.5" customHeight="1" s="46"/>
    <row r="21" ht="57.95" customHeight="1" s="46"/>
    <row r="22" ht="57.95" customHeight="1" s="46"/>
    <row r="23" ht="57" customHeight="1" s="46"/>
    <row r="24" ht="48.75" customHeight="1" s="46"/>
    <row r="25" ht="48" customHeight="1" s="46"/>
    <row r="26" ht="38.25" customHeight="1" s="46"/>
    <row r="27" ht="15.75" customHeight="1" s="46"/>
    <row r="28" ht="15.75" customHeight="1" s="46"/>
    <row r="29" ht="15.75" customHeight="1" s="46"/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9">
    <mergeCell ref="B5:D5"/>
    <mergeCell ref="B8:D8"/>
    <mergeCell ref="A2:N2"/>
    <mergeCell ref="B4:D4"/>
    <mergeCell ref="A19:E19"/>
    <mergeCell ref="B9:D9"/>
    <mergeCell ref="B7:D7"/>
    <mergeCell ref="B6:D6"/>
    <mergeCell ref="A1:N1"/>
  </mergeCells>
  <conditionalFormatting sqref="H13:H15">
    <cfRule type="expression" priority="1" dxfId="4">
      <formula>H13="Done"</formula>
    </cfRule>
    <cfRule type="expression" priority="2" dxfId="3">
      <formula>H13="Ready"</formula>
    </cfRule>
    <cfRule type="expression" priority="3" dxfId="2">
      <formula>H13="En progreso"</formula>
    </cfRule>
    <cfRule type="expression" priority="4" dxfId="1">
      <formula>H13="Pendiente"</formula>
    </cfRule>
    <cfRule type="expression" priority="5" dxfId="0">
      <formula>H13="Bloqueado"</formula>
    </cfRule>
  </conditionalFormatting>
  <dataValidations count="4">
    <dataValidation sqref="H13:H15" showDropDown="0" showInputMessage="0" showErrorMessage="0" allowBlank="1" type="list">
      <formula1>"Pendiente,En progreso,Bloqueado,Done"</formula1>
    </dataValidation>
    <dataValidation sqref="F13:F15" showDropDown="1" showInputMessage="0" showErrorMessage="0" allowBlank="1" type="custom"/>
    <dataValidation sqref="D13:D15" showDropDown="1" showInputMessage="0" showErrorMessage="1" allowBlank="1" type="list">
      <formula1>"Backend,Testing"</formula1>
    </dataValidation>
    <dataValidation sqref="E13:E15" showDropDown="0" showInputMessage="0" showErrorMessage="0" allowBlank="1" type="list">
      <formula1>"Crítica,Alta,Media,Baja"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topLeftCell="A9" workbookViewId="0">
      <selection activeCell="A1" sqref="A1:P1"/>
    </sheetView>
  </sheetViews>
  <sheetFormatPr baseColWidth="10" defaultColWidth="12.625" defaultRowHeight="14.25"/>
  <cols>
    <col width="14" customWidth="1" style="46" min="1" max="2"/>
    <col width="15.625" customWidth="1" style="46" min="3" max="3"/>
    <col width="13" customWidth="1" style="46" min="4" max="12"/>
    <col width="15" customWidth="1" style="46" min="13" max="13"/>
    <col width="17.125" customWidth="1" style="46" min="14" max="14"/>
    <col width="36" customWidth="1" style="46" min="15" max="15"/>
    <col width="25.125" customWidth="1" style="46" min="16" max="16"/>
  </cols>
  <sheetData>
    <row r="1" ht="27.75" customHeight="1" s="46">
      <c r="A1" s="62" t="inlineStr">
        <is>
          <t>CONTROL DIARIO SPRINT 6 — EVIDENCIA HISTÓRICA CONSERVADA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60" t="n"/>
    </row>
    <row r="2">
      <c r="A2" s="63" t="inlineStr">
        <is>
          <t>Sprint 6 permanece cerrado y no se reconstruyen horas históricas. Sprint 7 está en progreso con HU-027 a HU-029 Done; sus horas no se inventan ni se incorporan retroactivamente a este control.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60" t="n"/>
    </row>
    <row r="3" ht="22.5" customHeight="1" s="46"/>
    <row r="4" ht="22.5" customHeight="1" s="46"/>
    <row r="5" ht="65.25" customHeight="1" s="46">
      <c r="A5" s="2" t="n"/>
      <c r="B5" s="17" t="inlineStr">
        <is>
          <t>Tarea</t>
        </is>
      </c>
      <c r="C5" s="17" t="inlineStr">
        <is>
          <t>Horas estimadas</t>
        </is>
      </c>
      <c r="D5" s="17" t="inlineStr">
        <is>
          <t>Día 1 Cons.</t>
        </is>
      </c>
      <c r="E5" s="17" t="inlineStr">
        <is>
          <t>Día 1 Rest.</t>
        </is>
      </c>
      <c r="F5" s="17" t="inlineStr">
        <is>
          <t>Día 2 Cons.</t>
        </is>
      </c>
      <c r="G5" s="17" t="inlineStr">
        <is>
          <t>Día 2 Rest.</t>
        </is>
      </c>
      <c r="H5" s="17" t="inlineStr">
        <is>
          <t>Día 3 Cons.</t>
        </is>
      </c>
      <c r="I5" s="17" t="inlineStr">
        <is>
          <t>Día 3 Rest.</t>
        </is>
      </c>
      <c r="J5" s="17" t="inlineStr">
        <is>
          <t>Día 4 Cons.</t>
        </is>
      </c>
      <c r="K5" s="17" t="inlineStr">
        <is>
          <t>Día 4 Rest.</t>
        </is>
      </c>
      <c r="L5" s="17" t="inlineStr">
        <is>
          <t>Día 5 Cons.</t>
        </is>
      </c>
      <c r="M5" s="17" t="inlineStr">
        <is>
          <t>Día 5 Rest.</t>
        </is>
      </c>
      <c r="N5" s="17" t="inlineStr">
        <is>
          <t>Total consumido</t>
        </is>
      </c>
      <c r="O5" s="17" t="inlineStr">
        <is>
          <t>Restante final</t>
        </is>
      </c>
      <c r="P5" s="17" t="inlineStr">
        <is>
          <t>Observación</t>
        </is>
      </c>
    </row>
    <row r="6" ht="42.75" customHeight="1" s="46">
      <c r="A6" s="2" t="n"/>
      <c r="B6" s="18" t="inlineStr">
        <is>
          <t>S6-T01</t>
        </is>
      </c>
      <c r="C6" s="18" t="n"/>
      <c r="D6" s="18" t="n"/>
      <c r="E6" s="18">
        <f>IF(C6="","",IF(D6="",C6,MAX(0,C6-D6)))</f>
        <v/>
      </c>
      <c r="F6" s="18" t="n"/>
      <c r="G6" s="18">
        <f>IF(C6="","",IF(F6="",E6,MAX(0,E6-F6)))</f>
        <v/>
      </c>
      <c r="H6" s="18" t="n"/>
      <c r="I6" s="18">
        <f>IF(C6="","",IF(H6="",G6,MAX(0,G6-H6)))</f>
        <v/>
      </c>
      <c r="J6" s="18" t="n"/>
      <c r="K6" s="18">
        <f>IF(C6="","",IF(J6="",I6,MAX(0,I6-J6)))</f>
        <v/>
      </c>
      <c r="L6" s="18" t="n"/>
      <c r="M6" s="18">
        <f>IF(C6="","",IF(L6="",K6,MAX(0,K6-L6)))</f>
        <v/>
      </c>
      <c r="N6" s="19">
        <f>IF(C6="","",SUM(D6,F6,H6,J6,L6))</f>
        <v/>
      </c>
      <c r="O6" s="19">
        <f>IF(C6="","",MAX(0,C6-N6))</f>
        <v/>
      </c>
      <c r="P6" s="18" t="inlineStr">
        <is>
          <t>Tarea completada técnicamente; horas diarias no reconstruidas retrospectivamente.</t>
        </is>
      </c>
    </row>
    <row r="7" ht="48.75" customHeight="1" s="46">
      <c r="A7" s="2" t="n"/>
      <c r="B7" s="5" t="inlineStr">
        <is>
          <t>S6-T02</t>
        </is>
      </c>
      <c r="C7" s="5" t="n"/>
      <c r="D7" s="5" t="n"/>
      <c r="E7" s="5">
        <f>IF(C7="","",IF(D7="",C7,MAX(0,C7-D7)))</f>
        <v/>
      </c>
      <c r="F7" s="5" t="n"/>
      <c r="G7" s="5">
        <f>IF(C7="","",IF(F7="",E7,MAX(0,E7-F7)))</f>
        <v/>
      </c>
      <c r="H7" s="5" t="n"/>
      <c r="I7" s="5">
        <f>IF(C7="","",IF(H7="",G7,MAX(0,G7-H7)))</f>
        <v/>
      </c>
      <c r="J7" s="5" t="n"/>
      <c r="K7" s="5">
        <f>IF(C7="","",IF(J7="",I7,MAX(0,I7-J7)))</f>
        <v/>
      </c>
      <c r="L7" s="5" t="n"/>
      <c r="M7" s="5">
        <f>IF(C7="","",IF(L7="",K7,MAX(0,K7-L7)))</f>
        <v/>
      </c>
      <c r="N7" s="8">
        <f>IF(C7="","",SUM(D7,F7,H7,J7,L7))</f>
        <v/>
      </c>
      <c r="O7" s="8">
        <f>IF(C7="","",MAX(0,C7-N7))</f>
        <v/>
      </c>
      <c r="P7" s="5" t="inlineStr">
        <is>
          <t>Tarea completada técnicamente; horas diarias no reconstruidas retrospectivamente.</t>
        </is>
      </c>
    </row>
    <row r="8" ht="51" customHeight="1" s="46">
      <c r="A8" s="2" t="n"/>
      <c r="B8" s="5" t="inlineStr">
        <is>
          <t>S6-T03</t>
        </is>
      </c>
      <c r="C8" s="5" t="n"/>
      <c r="D8" s="5" t="n"/>
      <c r="E8" s="5">
        <f>IF(C8="","",IF(D8="",C8,MAX(0,C8-D8)))</f>
        <v/>
      </c>
      <c r="F8" s="5" t="n"/>
      <c r="G8" s="5">
        <f>IF(C8="","",IF(F8="",E8,MAX(0,E8-F8)))</f>
        <v/>
      </c>
      <c r="H8" s="5" t="n"/>
      <c r="I8" s="5">
        <f>IF(C8="","",IF(H8="",G8,MAX(0,G8-H8)))</f>
        <v/>
      </c>
      <c r="J8" s="5" t="n"/>
      <c r="K8" s="5">
        <f>IF(C8="","",IF(J8="",I8,MAX(0,I8-J8)))</f>
        <v/>
      </c>
      <c r="L8" s="5" t="n"/>
      <c r="M8" s="5">
        <f>IF(C8="","",IF(L8="",K8,MAX(0,K8-L8)))</f>
        <v/>
      </c>
      <c r="N8" s="8">
        <f>IF(C8="","",SUM(D8,F8,H8,J8,L8))</f>
        <v/>
      </c>
      <c r="O8" s="8">
        <f>IF(C8="","",MAX(0,C8-N8))</f>
        <v/>
      </c>
      <c r="P8" s="5" t="inlineStr">
        <is>
          <t>Tarea completada técnicamente; horas diarias no reconstruidas retrospectivamente.</t>
        </is>
      </c>
    </row>
    <row r="9" ht="54" customHeight="1" s="46">
      <c r="A9" s="2" t="n"/>
      <c r="B9" s="5" t="inlineStr">
        <is>
          <t>S6-T04</t>
        </is>
      </c>
      <c r="C9" s="5" t="n"/>
      <c r="D9" s="5" t="n"/>
      <c r="E9" s="5">
        <f>IF(C9="","",IF(D9="",C9,MAX(0,C9-D9)))</f>
        <v/>
      </c>
      <c r="F9" s="5" t="n"/>
      <c r="G9" s="5">
        <f>IF(C9="","",IF(F9="",E9,MAX(0,E9-F9)))</f>
        <v/>
      </c>
      <c r="H9" s="5" t="n"/>
      <c r="I9" s="5">
        <f>IF(C9="","",IF(H9="",G9,MAX(0,G9-H9)))</f>
        <v/>
      </c>
      <c r="J9" s="5" t="n"/>
      <c r="K9" s="5">
        <f>IF(C9="","",IF(J9="",I9,MAX(0,I9-J9)))</f>
        <v/>
      </c>
      <c r="L9" s="5" t="n"/>
      <c r="M9" s="5">
        <f>IF(C9="","",IF(L9="",K9,MAX(0,K9-L9)))</f>
        <v/>
      </c>
      <c r="N9" s="8">
        <f>IF(C9="","",SUM(D9,F9,H9,J9,L9))</f>
        <v/>
      </c>
      <c r="O9" s="8">
        <f>IF(C9="","",MAX(0,C9-N9))</f>
        <v/>
      </c>
      <c r="P9" s="5" t="inlineStr">
        <is>
          <t>Tarea completada técnicamente; horas diarias no reconstruidas retrospectivamente.</t>
        </is>
      </c>
    </row>
    <row r="10" ht="74.25" customHeight="1" s="46">
      <c r="A10" s="2" t="n"/>
      <c r="B10" s="5" t="inlineStr">
        <is>
          <t>S6-T05</t>
        </is>
      </c>
      <c r="C10" s="5" t="n"/>
      <c r="D10" s="5" t="n"/>
      <c r="E10" s="5">
        <f>IF(C10="","",IF(D10="",C10,MAX(0,C10-D10)))</f>
        <v/>
      </c>
      <c r="F10" s="5" t="n"/>
      <c r="G10" s="5">
        <f>IF(C10="","",IF(F10="",E10,MAX(0,E10-F10)))</f>
        <v/>
      </c>
      <c r="H10" s="5" t="n"/>
      <c r="I10" s="5">
        <f>IF(C10="","",IF(H10="",G10,MAX(0,G10-H10)))</f>
        <v/>
      </c>
      <c r="J10" s="5" t="n"/>
      <c r="K10" s="5">
        <f>IF(C10="","",IF(J10="",I10,MAX(0,I10-J10)))</f>
        <v/>
      </c>
      <c r="L10" s="5" t="n"/>
      <c r="M10" s="5">
        <f>IF(C10="","",IF(L10="",K10,MAX(0,K10-L10)))</f>
        <v/>
      </c>
      <c r="N10" s="8">
        <f>IF(C10="","",SUM(D10,F10,H10,J10,L10))</f>
        <v/>
      </c>
      <c r="O10" s="8">
        <f>IF(C10="","",MAX(0,C10-N10))</f>
        <v/>
      </c>
      <c r="P10" s="5" t="inlineStr">
        <is>
          <t>Tarea completada técnicamente; horas diarias no reconstruidas retrospectivamente.</t>
        </is>
      </c>
    </row>
    <row r="11" ht="60.75" customHeight="1" s="46">
      <c r="A11" s="2" t="n"/>
      <c r="B11" s="5" t="inlineStr">
        <is>
          <t>S6-T06</t>
        </is>
      </c>
      <c r="C11" s="5" t="n"/>
      <c r="D11" s="5" t="n"/>
      <c r="E11" s="5">
        <f>IF(C11="","",IF(D11="",C11,MAX(0,C11-D11)))</f>
        <v/>
      </c>
      <c r="F11" s="5" t="n"/>
      <c r="G11" s="5">
        <f>IF(C11="","",IF(F11="",E11,MAX(0,E11-F11)))</f>
        <v/>
      </c>
      <c r="H11" s="5" t="n"/>
      <c r="I11" s="5">
        <f>IF(C11="","",IF(H11="",G11,MAX(0,G11-H11)))</f>
        <v/>
      </c>
      <c r="J11" s="5" t="n"/>
      <c r="K11" s="5">
        <f>IF(C11="","",IF(J11="",I11,MAX(0,I11-J11)))</f>
        <v/>
      </c>
      <c r="L11" s="5" t="n"/>
      <c r="M11" s="5">
        <f>IF(C11="","",IF(L11="",K11,MAX(0,K11-L11)))</f>
        <v/>
      </c>
      <c r="N11" s="8">
        <f>IF(C11="","",SUM(D11,F11,H11,J11,L11))</f>
        <v/>
      </c>
      <c r="O11" s="8">
        <f>IF(C11="","",MAX(0,C11-N11))</f>
        <v/>
      </c>
      <c r="P11" s="5" t="inlineStr">
        <is>
          <t>Tarea completada técnicamente; horas diarias no reconstruidas retrospectivamente.</t>
        </is>
      </c>
    </row>
    <row r="12" ht="66" customHeight="1" s="46">
      <c r="A12" s="2" t="n"/>
      <c r="B12" s="5" t="inlineStr">
        <is>
          <t>S6-T07</t>
        </is>
      </c>
      <c r="C12" s="5" t="n"/>
      <c r="D12" s="5" t="n"/>
      <c r="E12" s="5">
        <f>IF(C12="","",IF(D12="",C12,MAX(0,C12-D12)))</f>
        <v/>
      </c>
      <c r="F12" s="5" t="n"/>
      <c r="G12" s="5">
        <f>IF(C12="","",IF(F12="",E12,MAX(0,E12-F12)))</f>
        <v/>
      </c>
      <c r="H12" s="5" t="n"/>
      <c r="I12" s="5">
        <f>IF(C12="","",IF(H12="",G12,MAX(0,G12-H12)))</f>
        <v/>
      </c>
      <c r="J12" s="5" t="n"/>
      <c r="K12" s="5">
        <f>IF(C12="","",IF(J12="",I12,MAX(0,I12-J12)))</f>
        <v/>
      </c>
      <c r="L12" s="5" t="n"/>
      <c r="M12" s="5">
        <f>IF(C12="","",IF(L12="",K12,MAX(0,K12-L12)))</f>
        <v/>
      </c>
      <c r="N12" s="8">
        <f>IF(C12="","",SUM(D12,F12,H12,J12,L12))</f>
        <v/>
      </c>
      <c r="O12" s="8">
        <f>IF(C12="","",MAX(0,C12-N12))</f>
        <v/>
      </c>
      <c r="P12" s="5" t="inlineStr">
        <is>
          <t>Tarea completada y validada; horas diarias no reconstruidas retrospectivamente.</t>
        </is>
      </c>
    </row>
    <row r="13" ht="69.75" customHeight="1" s="46">
      <c r="A13" s="2" t="n"/>
      <c r="B13" s="21" t="inlineStr">
        <is>
          <t>S6-T08</t>
        </is>
      </c>
      <c r="C13" s="21" t="n"/>
      <c r="D13" s="21" t="n"/>
      <c r="E13" s="21">
        <f>IF(C13="","",IF(D13="",C13,MAX(0,C13-D13)))</f>
        <v/>
      </c>
      <c r="F13" s="21" t="n"/>
      <c r="G13" s="21">
        <f>IF(C13="","",IF(F13="",E13,MAX(0,E13-F13)))</f>
        <v/>
      </c>
      <c r="H13" s="21" t="n"/>
      <c r="I13" s="21">
        <f>IF(C13="","",IF(H13="",G13,MAX(0,G13-H13)))</f>
        <v/>
      </c>
      <c r="J13" s="21" t="n"/>
      <c r="K13" s="21">
        <f>IF(C13="","",IF(J13="",I13,MAX(0,I13-J13)))</f>
        <v/>
      </c>
      <c r="L13" s="21" t="n"/>
      <c r="M13" s="21">
        <f>IF(C13="","",IF(L13="",K13,MAX(0,K13-L13)))</f>
        <v/>
      </c>
      <c r="N13" s="22">
        <f>IF(C13="","",SUM(D13,F13,H13,J13,L13))</f>
        <v/>
      </c>
      <c r="O13" s="22">
        <f>IF(C13="","",MAX(0,C13-N13))</f>
        <v/>
      </c>
      <c r="P13" s="21" t="inlineStr">
        <is>
          <t>Validación integrada completada con escenarios reales de expiración, aceptación y rechazo.</t>
        </is>
      </c>
    </row>
    <row r="14" ht="38.1" customHeight="1" s="46">
      <c r="A14" s="14" t="n"/>
      <c r="B14" s="20" t="inlineStr">
        <is>
          <t>S6-T09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inlineStr">
        <is>
          <t>HU-023 completada y mergeada. Horas diarias no reconstruidas retrospectivamente.</t>
        </is>
      </c>
    </row>
    <row r="15" ht="38.1" customHeight="1" s="46">
      <c r="A15" s="14" t="n"/>
      <c r="B15" s="20" t="inlineStr">
        <is>
          <t>S6-T10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inlineStr">
        <is>
          <t>HU-024 completada y mergeada. Prueba manual de centro de notificaciones y persistencia de lectura PASS.</t>
        </is>
      </c>
    </row>
    <row r="21" ht="15.75" customHeight="1" s="46"/>
    <row r="22" ht="15.75" customHeight="1" s="46"/>
    <row r="23" ht="15.75" customHeight="1" s="46"/>
    <row r="24" ht="15.75" customHeight="1" s="46"/>
    <row r="25" ht="15.75" customHeight="1" s="46"/>
    <row r="26" ht="15.75" customHeight="1" s="46"/>
    <row r="27" ht="15.75" customHeight="1" s="46"/>
    <row r="28" ht="15.75" customHeight="1" s="46"/>
    <row r="29" ht="15.75" customHeight="1" s="46"/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2">
    <mergeCell ref="A1:P1"/>
    <mergeCell ref="A2:P2"/>
  </mergeCells>
  <dataValidations count="1">
    <dataValidation sqref="N6:O13" showDropDown="1" showInputMessage="0" showErrorMessage="0" allowBlank="1" type="custom">
      <formula1>AND(ISNUMBER(N6),(NOT(OR(NOT(ISERROR(DATEVALUE(N6))), AND(ISNUMBER(N6), LEFT(CELL("format", N6))="D")))))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topLeftCell="A14" workbookViewId="0">
      <selection activeCell="A1" sqref="A1:E1"/>
    </sheetView>
  </sheetViews>
  <sheetFormatPr baseColWidth="10" defaultColWidth="12.625" defaultRowHeight="14.25"/>
  <cols>
    <col width="30" customWidth="1" style="46" min="1" max="1"/>
    <col width="28.75" customWidth="1" style="46" min="2" max="2"/>
    <col width="11.75" customWidth="1" style="46" min="3" max="3"/>
    <col width="26" customWidth="1" style="46" min="4" max="4"/>
    <col width="18" customWidth="1" style="46" min="5" max="5"/>
    <col width="8.625" customWidth="1" style="46" min="6" max="6"/>
  </cols>
  <sheetData>
    <row r="1" ht="20.25" customHeight="1" s="46">
      <c r="A1" s="45" t="inlineStr">
        <is>
          <t>CITAJUSTA — RESUMEN SPRINT 7 EN PROGRESO</t>
        </is>
      </c>
    </row>
    <row r="3" ht="15" customHeight="1" s="46">
      <c r="A3" s="6" t="inlineStr">
        <is>
          <t>Indicador</t>
        </is>
      </c>
      <c r="B3" s="6" t="inlineStr">
        <is>
          <t>Valor</t>
        </is>
      </c>
      <c r="D3" s="7" t="inlineStr">
        <is>
          <t>Estado</t>
        </is>
      </c>
      <c r="E3" s="7" t="inlineStr">
        <is>
          <t>Tareas</t>
        </is>
      </c>
    </row>
    <row r="4">
      <c r="A4" s="9" t="inlineStr">
        <is>
          <t>Historias refinadas actuales</t>
        </is>
      </c>
      <c r="B4" s="9" t="n">
        <v>3</v>
      </c>
      <c r="D4" s="10" t="inlineStr">
        <is>
          <t>Done</t>
        </is>
      </c>
      <c r="E4" s="10">
        <f>B6</f>
        <v/>
      </c>
    </row>
    <row r="5">
      <c r="A5" s="9" t="inlineStr">
        <is>
          <t>Estimación horaria</t>
        </is>
      </c>
      <c r="B5" s="9" t="inlineStr">
        <is>
          <t>Pendiente de Planning</t>
        </is>
      </c>
      <c r="D5" s="10" t="inlineStr">
        <is>
          <t>In Progress</t>
        </is>
      </c>
      <c r="E5" s="10">
        <f>B7</f>
        <v/>
      </c>
    </row>
    <row r="6">
      <c r="A6" s="9" t="inlineStr">
        <is>
          <t>Historias Done</t>
        </is>
      </c>
      <c r="B6" s="9" t="n">
        <v>3</v>
      </c>
      <c r="D6" s="10" t="inlineStr">
        <is>
          <t>Pendiente</t>
        </is>
      </c>
      <c r="E6" s="10">
        <f>B8</f>
        <v/>
      </c>
    </row>
    <row r="7">
      <c r="A7" s="9" t="inlineStr">
        <is>
          <t>Historias Ready</t>
        </is>
      </c>
      <c r="B7" s="9" t="n">
        <v>0</v>
      </c>
      <c r="D7" s="23" t="inlineStr">
        <is>
          <t>Ready</t>
        </is>
      </c>
      <c r="E7" s="23" t="n">
        <v>0</v>
      </c>
    </row>
    <row r="8">
      <c r="A8" s="9" t="inlineStr">
        <is>
          <t>Pendientes dentro de lo refinado</t>
        </is>
      </c>
      <c r="B8" s="9" t="n">
        <v>0</v>
      </c>
      <c r="D8" s="20" t="inlineStr">
        <is>
          <t>Bloqueado</t>
        </is>
      </c>
      <c r="E8" s="20" t="n">
        <v>0</v>
      </c>
    </row>
    <row r="9">
      <c r="A9" s="9" t="inlineStr">
        <is>
          <t>Avance de historias refinadas</t>
        </is>
      </c>
      <c r="B9" s="11" t="n">
        <v>1</v>
      </c>
    </row>
    <row r="10" ht="71.25" customHeight="1" s="46">
      <c r="A10" s="9" t="inlineStr">
        <is>
          <t>Validación actual</t>
        </is>
      </c>
      <c r="B10" s="11" t="inlineStr">
        <is>
          <t>HU-027 Tauri/build/cargo PASS · HU-028 Web 95/95 + Desktop 7/7 + client-core 2/2 · HU-029 API 394/394 + E2E 15/15 + Desktop 16/16</t>
        </is>
      </c>
    </row>
    <row r="11" ht="57" customHeight="1" s="46">
      <c r="A11" s="9" t="inlineStr">
        <is>
          <t>Pruebas actuales</t>
        </is>
      </c>
      <c r="B11" s="9" t="inlineStr">
        <is>
          <t>HU-027 a HU-029 PASS. Sprint 7 no se marca cerrado: el siguiente PBI Desktop permanece pendiente de refinamiento.</t>
        </is>
      </c>
    </row>
    <row r="14">
      <c r="A14" s="64" t="inlineStr">
        <is>
          <t>Entregables logrados</t>
        </is>
      </c>
      <c r="B14" s="60" t="n"/>
      <c r="D14" s="65" t="inlineStr">
        <is>
          <t>Pendientes del Sprint</t>
        </is>
      </c>
      <c r="E14" s="60" t="n"/>
    </row>
    <row r="15">
      <c r="A15" s="66" t="inlineStr">
        <is>
          <t>• HU-027: fundación Tauri 2 + shell institucional Done (PR #112).
• HU-028: autenticación Desktop + @citajusta/client-core Done (PR #113).
• HU-029: gestión real de sedes/servicios Done (merge e1cdb2e).
• Validación manual Tauri/PostgreSQL de HU-029 completada.</t>
        </is>
      </c>
      <c r="B15" s="67" t="n"/>
      <c r="C15" s="14" t="n"/>
      <c r="D15" s="68" t="inlineStr">
        <is>
          <t>• Refinar el siguiente PBI de Sprint 7 antes de incorporarlo.
• Continuar progresivamente con módulos institucionales soportados por backend.
• Mantener evidencias Scrum/GitHub sincronizadas.</t>
        </is>
      </c>
      <c r="E15" s="67" t="n"/>
    </row>
    <row r="16">
      <c r="A16" s="69" t="n"/>
      <c r="B16" s="70" t="n"/>
      <c r="D16" s="69" t="n"/>
      <c r="E16" s="70" t="n"/>
    </row>
    <row r="17">
      <c r="A17" s="69" t="n"/>
      <c r="B17" s="70" t="n"/>
      <c r="D17" s="69" t="n"/>
      <c r="E17" s="70" t="n"/>
    </row>
    <row r="18">
      <c r="A18" s="69" t="n"/>
      <c r="B18" s="70" t="n"/>
      <c r="D18" s="69" t="n"/>
      <c r="E18" s="70" t="n"/>
    </row>
    <row r="19">
      <c r="A19" s="69" t="n"/>
      <c r="B19" s="70" t="n"/>
      <c r="D19" s="69" t="n"/>
      <c r="E19" s="70" t="n"/>
    </row>
    <row r="20" ht="94.5" customHeight="1" s="46">
      <c r="A20" s="71" t="n"/>
      <c r="B20" s="72" t="n"/>
      <c r="D20" s="71" t="n"/>
      <c r="E20" s="72" t="n"/>
    </row>
    <row r="21" ht="15.75" customHeight="1" s="46">
      <c r="A21" s="12" t="n"/>
      <c r="B21" s="12" t="n"/>
      <c r="D21" s="12" t="n"/>
      <c r="E21" s="12" t="n"/>
    </row>
    <row r="22" ht="24" customHeight="1" s="46">
      <c r="A22" s="73" t="inlineStr">
        <is>
          <t>Evidencia técnica al 23-09-2026</t>
        </is>
      </c>
      <c r="B22" s="59" t="n"/>
      <c r="C22" s="59" t="n"/>
      <c r="D22" s="59" t="n"/>
      <c r="E22" s="60" t="n"/>
    </row>
    <row r="23" ht="72" customHeight="1" s="46">
      <c r="A23" s="74" t="inlineStr">
        <is>
          <t>Sprint 7 está en progreso. HU-027, HU-028 y HU-029 están Done e integradas a main. El Desktop ya posee fundación Tauri, autenticación real y primer módulo institucional funcional (Sedes y servicios).</t>
        </is>
      </c>
      <c r="B23" s="75" t="n"/>
      <c r="C23" s="75" t="n"/>
      <c r="D23" s="75" t="n"/>
      <c r="E23" s="67" t="n"/>
    </row>
    <row r="24" ht="15.75" customHeight="1" s="46">
      <c r="A24" s="69" t="n"/>
      <c r="E24" s="70" t="n"/>
    </row>
    <row r="25" ht="15.75" customHeight="1" s="46">
      <c r="A25" s="69" t="n"/>
      <c r="E25" s="70" t="n"/>
    </row>
    <row r="26" ht="15.75" customHeight="1" s="46">
      <c r="A26" s="71" t="n"/>
      <c r="B26" s="76" t="n"/>
      <c r="C26" s="76" t="n"/>
      <c r="D26" s="76" t="n"/>
      <c r="E26" s="72" t="n"/>
    </row>
    <row r="27" ht="15.75" customHeight="1" s="46"/>
    <row r="28" ht="15.75" customHeight="1" s="46"/>
    <row r="29" ht="15.75" customHeight="1" s="46"/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7">
    <mergeCell ref="A15:B20"/>
    <mergeCell ref="D15:E20"/>
    <mergeCell ref="D14:E14"/>
    <mergeCell ref="A1:E1"/>
    <mergeCell ref="A14:B14"/>
    <mergeCell ref="A22:E22"/>
    <mergeCell ref="A23:E26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46" min="1" max="1"/>
    <col width="36" customWidth="1" style="46" min="2" max="2"/>
    <col width="56" customWidth="1" style="46" min="3" max="3"/>
    <col width="52" customWidth="1" style="46" min="4" max="4"/>
  </cols>
  <sheetData>
    <row r="1" ht="30" customHeight="1" s="46">
      <c r="A1" s="77" t="inlineStr">
        <is>
          <t>Elemento</t>
        </is>
      </c>
      <c r="B1" s="77" t="inlineStr">
        <is>
          <t>Interpretación</t>
        </is>
      </c>
      <c r="C1" s="77" t="inlineStr">
        <is>
          <t>Evidencia</t>
        </is>
      </c>
      <c r="D1" s="77" t="inlineStr">
        <is>
          <t>Restricción</t>
        </is>
      </c>
    </row>
    <row r="2" ht="42" customHeight="1" s="46">
      <c r="A2" s="78" t="inlineStr">
        <is>
          <t>Sprint 7</t>
        </is>
      </c>
      <c r="B2" s="78" t="inlineStr">
        <is>
          <t>Registros anteriores preservados como histórico</t>
        </is>
      </c>
      <c r="C2" s="78" t="inlineStr">
        <is>
          <t>Release Plan con Sprint 7 documentado cerrado 04-10</t>
        </is>
      </c>
      <c r="D2" s="78" t="inlineStr">
        <is>
          <t>No reescribir tareas o tiempos históricos</t>
        </is>
      </c>
    </row>
    <row r="3" ht="42" customHeight="1" s="46">
      <c r="A3" s="79" t="inlineStr">
        <is>
          <t>Sprint 8</t>
        </is>
      </c>
      <c r="B3" s="79" t="inlineStr">
        <is>
          <t>HU-039–HU-042 con PR fusionadas; HU-043 excluida</t>
        </is>
      </c>
      <c r="C3" s="79" t="inlineStr">
        <is>
          <t>Issues #152, #155, #158, #162 cerradas; PR #153,#156,#159,#163 fusionadas; PR #169 retiro</t>
        </is>
      </c>
      <c r="D3" s="79" t="inlineStr">
        <is>
          <t>No acredita ceremonias ni cierre formal de Sprint 8</t>
        </is>
      </c>
    </row>
    <row r="4" ht="42" customHeight="1" s="46">
      <c r="A4" s="78" t="inlineStr">
        <is>
          <t>Sprint 9</t>
        </is>
      </c>
      <c r="B4" s="78" t="inlineStr">
        <is>
          <t>Cierre técnico/académico pendiente</t>
        </is>
      </c>
      <c r="C4" s="78" t="inlineStr">
        <is>
          <t>Docker, OpenAPI, pruebas, modelo ER, documentación</t>
        </is>
      </c>
      <c r="D4" s="78" t="inlineStr">
        <is>
          <t>No marcar Done sin evidencia</t>
        </is>
      </c>
    </row>
    <row r="5" ht="42" customHeight="1" s="46">
      <c r="A5" s="79" t="inlineStr">
        <is>
          <t>Resend V2</t>
        </is>
      </c>
      <c r="B5" s="79" t="inlineStr">
        <is>
          <t>Cambio local sin PR/merge confirmado</t>
        </is>
      </c>
      <c r="C5" s="79" t="inlineStr">
        <is>
          <t>611/611 API PASS según Codex</t>
        </is>
      </c>
      <c r="D5" s="79" t="inlineStr">
        <is>
          <t>Gmail V2 CID pendiente</t>
        </is>
      </c>
    </row>
    <row r="6" ht="42" customHeight="1" s="46">
      <c r="A6" s="78" t="inlineStr">
        <is>
          <t>Daily Scrum</t>
        </is>
      </c>
      <c r="B6" s="78" t="inlineStr">
        <is>
          <t>Issues automáticas abiertas normales</t>
        </is>
      </c>
      <c r="C6" s="78" t="inlineStr">
        <is>
          <t>12-15 octubre</t>
        </is>
      </c>
      <c r="D6" s="78" t="inlineStr">
        <is>
          <t>Fuera Kanban 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2026-10-16T21:18:18Z</dcterms:created>
  <dcterms:modified xmlns:dcterms="http://purl.org/dc/terms/" xmlns:xsi="http://www.w3.org/2001/XMLSchema-instance" xsi:type="dcterms:W3CDTF">2026-10-16T21:18:18Z</dcterms:modified>
  <cp:lastModifiedBy>IMPUS CHILE</cp:lastModifiedBy>
</cp:coreProperties>
</file>