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PC2\Downloads\"/>
    </mc:Choice>
  </mc:AlternateContent>
  <xr:revisionPtr revIDLastSave="0" documentId="13_ncr:1_{B40C3F1C-D36C-4E57-91B9-9405CF8A8815}" xr6:coauthVersionLast="47" xr6:coauthVersionMax="47" xr10:uidLastSave="{00000000-0000-0000-0000-000000000000}"/>
  <bookViews>
    <workbookView xWindow="-28920" yWindow="-120" windowWidth="29040" windowHeight="15960" activeTab="2" xr2:uid="{00000000-000D-0000-FFFF-FFFF00000000}"/>
  </bookViews>
  <sheets>
    <sheet name="Sprint Backlog" sheetId="1" r:id="rId1"/>
    <sheet name="Control Diario" sheetId="2" r:id="rId2"/>
    <sheet name="Resumen Sprint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3" l="1"/>
  <c r="E5" i="3"/>
  <c r="E4" i="3"/>
  <c r="O13" i="2"/>
  <c r="N13" i="2"/>
  <c r="M13" i="2"/>
  <c r="K13" i="2"/>
  <c r="I13" i="2"/>
  <c r="G13" i="2"/>
  <c r="E13" i="2"/>
  <c r="O12" i="2"/>
  <c r="N12" i="2"/>
  <c r="M12" i="2"/>
  <c r="K12" i="2"/>
  <c r="I12" i="2"/>
  <c r="G12" i="2"/>
  <c r="E12" i="2"/>
  <c r="O11" i="2"/>
  <c r="N11" i="2"/>
  <c r="M11" i="2"/>
  <c r="K11" i="2"/>
  <c r="I11" i="2"/>
  <c r="G11" i="2"/>
  <c r="E11" i="2"/>
  <c r="O10" i="2"/>
  <c r="N10" i="2"/>
  <c r="M10" i="2"/>
  <c r="K10" i="2"/>
  <c r="I10" i="2"/>
  <c r="G10" i="2"/>
  <c r="E10" i="2"/>
  <c r="O9" i="2"/>
  <c r="N9" i="2"/>
  <c r="M9" i="2"/>
  <c r="K9" i="2"/>
  <c r="I9" i="2"/>
  <c r="G9" i="2"/>
  <c r="E9" i="2"/>
  <c r="O8" i="2"/>
  <c r="N8" i="2"/>
  <c r="M8" i="2"/>
  <c r="K8" i="2"/>
  <c r="I8" i="2"/>
  <c r="G8" i="2"/>
  <c r="E8" i="2"/>
  <c r="O7" i="2"/>
  <c r="N7" i="2"/>
  <c r="M7" i="2"/>
  <c r="K7" i="2"/>
  <c r="I7" i="2"/>
  <c r="G7" i="2"/>
  <c r="E7" i="2"/>
  <c r="O6" i="2"/>
  <c r="N6" i="2"/>
  <c r="M6" i="2"/>
  <c r="K6" i="2"/>
  <c r="I6" i="2"/>
  <c r="G6" i="2"/>
  <c r="E6" i="2"/>
</calcChain>
</file>

<file path=xl/sharedStrings.xml><?xml version="1.0" encoding="utf-8"?>
<sst xmlns="http://schemas.openxmlformats.org/spreadsheetml/2006/main" count="126" uniqueCount="110">
  <si>
    <t>Campo</t>
  </si>
  <si>
    <t>Valor</t>
  </si>
  <si>
    <t>Sprint</t>
  </si>
  <si>
    <t>Estado</t>
  </si>
  <si>
    <t>Fecha de corte</t>
  </si>
  <si>
    <t>Responsables</t>
  </si>
  <si>
    <t>Equipo CitaJusta</t>
  </si>
  <si>
    <t>Observación</t>
  </si>
  <si>
    <t>PBI / HU</t>
  </si>
  <si>
    <t>Tarea ID</t>
  </si>
  <si>
    <t>Tarea / actividad</t>
  </si>
  <si>
    <t>Tipo</t>
  </si>
  <si>
    <t>Prioridad</t>
  </si>
  <si>
    <t>Estimación (h)</t>
  </si>
  <si>
    <t>Responsable</t>
  </si>
  <si>
    <t>Dependencias / impedimentos</t>
  </si>
  <si>
    <t>Criterio de término</t>
  </si>
  <si>
    <t>Rama / PR</t>
  </si>
  <si>
    <t>Día consumido</t>
  </si>
  <si>
    <t>Horas reales</t>
  </si>
  <si>
    <t>Notas</t>
  </si>
  <si>
    <t>Tarea</t>
  </si>
  <si>
    <t>Horas estimadas</t>
  </si>
  <si>
    <t>Día 1 Cons.</t>
  </si>
  <si>
    <t>Día 1 Rest.</t>
  </si>
  <si>
    <t>Día 2 Cons.</t>
  </si>
  <si>
    <t>Día 2 Rest.</t>
  </si>
  <si>
    <t>Día 3 Cons.</t>
  </si>
  <si>
    <t>Día 3 Rest.</t>
  </si>
  <si>
    <t>Día 4 Cons.</t>
  </si>
  <si>
    <t>Día 4 Rest.</t>
  </si>
  <si>
    <t>Día 5 Cons.</t>
  </si>
  <si>
    <t>Día 5 Rest.</t>
  </si>
  <si>
    <t>Total consumido</t>
  </si>
  <si>
    <t>Restante final</t>
  </si>
  <si>
    <t>S6-T01</t>
  </si>
  <si>
    <t>Tarea completada técnicamente; horas diarias no reconstruidas retrospectivamente.</t>
  </si>
  <si>
    <t>S6-T02</t>
  </si>
  <si>
    <t>S6-T03</t>
  </si>
  <si>
    <t>S6-T04</t>
  </si>
  <si>
    <t>S6-T05</t>
  </si>
  <si>
    <t>S6-T06</t>
  </si>
  <si>
    <t>S6-T07</t>
  </si>
  <si>
    <t>Tarea completada y validada; horas diarias no reconstruidas retrospectivamente.</t>
  </si>
  <si>
    <t>S6-T08</t>
  </si>
  <si>
    <t>Validación integrada completada con escenarios reales de expiración, aceptación y rechazo.</t>
  </si>
  <si>
    <t>S6-T09</t>
  </si>
  <si>
    <t>HU-023 completada y mergeada. Horas diarias no reconstruidas retrospectivamente.</t>
  </si>
  <si>
    <t>S6-T10</t>
  </si>
  <si>
    <t>HU-024 completada y mergeada. Prueba manual de centro de notificaciones y persistencia de lectura PASS.</t>
  </si>
  <si>
    <t>Entregables logrados</t>
  </si>
  <si>
    <t>Pendientes del Sprint</t>
  </si>
  <si>
    <t>CITAJUSTA SPRINT BACKLOG — SPRINT 7 EN PROGRESO</t>
  </si>
  <si>
    <t>Versión 1.6 · 23-09-2026 · Sprint 7 activo · HU-027, HU-028 y HU-029 completadas y mergeadas a main · siguiente PBI Desktop pendiente de refinamiento.</t>
  </si>
  <si>
    <t>7</t>
  </si>
  <si>
    <t>En progreso</t>
  </si>
  <si>
    <t>23-09-2026</t>
  </si>
  <si>
    <t>Sprint 7 está en progreso. HU-027, HU-028 y HU-029 están Done. HU-019/HU-020 backend ya estaban implementadas como prerrequisitos institucionales. El siguiente PBI Desktop no se agrega hasta su refinamiento; no se reconstruyen horas ni se altera el Burndown histórico de Sprint 6.</t>
  </si>
  <si>
    <t>HU-027</t>
  </si>
  <si>
    <t>S7-T01</t>
  </si>
  <si>
    <t>Inicializar aplicación Desktop institucional con Tauri</t>
  </si>
  <si>
    <t>Desktop / Fundación</t>
  </si>
  <si>
    <t>Alta</t>
  </si>
  <si>
    <t>Done</t>
  </si>
  <si>
    <t>Monorepo + API existente</t>
  </si>
  <si>
    <t>apps/desktop compila y abre como cliente nativo; shell institucional preparada sin lógica de negocio duplicada</t>
  </si>
  <si>
    <t>feat/desktop-tauri-foundation · PR #112 · merge 6adab82</t>
  </si>
  <si>
    <t>Commit 01ff1b1. Build frontend y cargo check PASS; ejecución nativa validada.</t>
  </si>
  <si>
    <t>HU-028</t>
  </si>
  <si>
    <t>S7-T02</t>
  </si>
  <si>
    <t>Implementar autenticación Desktop y cliente compartido</t>
  </si>
  <si>
    <t>Desktop / Integración</t>
  </si>
  <si>
    <t>Crítica</t>
  </si>
  <si>
    <t>HU-027 + Auth API</t>
  </si>
  <si>
    <t>Login/logout reales, contexto institucional y cliente compartido sin persistencia insegura de tokens</t>
  </si>
  <si>
    <t>feat/desktop-auth-api · PR #113 · merge ae151b3</t>
  </si>
  <si>
    <t>Web 95/95; Desktop 7/7; client-core 2/2; build/cargo PASS; login/logout manual PASS.</t>
  </si>
  <si>
    <t>HU-029</t>
  </si>
  <si>
    <t>S7-T03</t>
  </si>
  <si>
    <t>Gestionar sedes y servicios desde Desktop</t>
  </si>
  <si>
    <t>Desktop / Backend / Integración</t>
  </si>
  <si>
    <t>HU-012 + HU-028 + RBAC</t>
  </si>
  <si>
    <t>Lecturas administrativas y CRUD institucional respetan tenant/scope; categorías y branchIds reales; GET públicos sin regresión</t>
  </si>
  <si>
    <t>feat/desktop-branch-service-management · commit f58c742 · merge e1cdb2e</t>
  </si>
  <si>
    <t>API 394/394; backend 34/34; E2E 15/15; Web 95/95; Desktop 16/16; client-core 4/4; prueba manual CRUD Tauri PASS.</t>
  </si>
  <si>
    <t>SIGUIENTE PBI DE SPRINT 7: pendiente de refinamiento. No se documenta HU-030 hasta definir alcance y criterios con evidencia real.</t>
  </si>
  <si>
    <t>CONTROL DIARIO SPRINT 6 — EVIDENCIA HISTÓRICA CONSERVADA</t>
  </si>
  <si>
    <t>Sprint 6 permanece cerrado y no se reconstruyen horas históricas. Sprint 7 está en progreso con HU-027 a HU-029 Done; sus horas no se inventan ni se incorporan retroactivamente a este control.</t>
  </si>
  <si>
    <t>CITAJUSTA — RESUMEN SPRINT 7 EN PROGRESO</t>
  </si>
  <si>
    <t>Indicador</t>
  </si>
  <si>
    <t>Tareas</t>
  </si>
  <si>
    <t>Historias refinadas actuales</t>
  </si>
  <si>
    <t>Estimación horaria</t>
  </si>
  <si>
    <t>Pendiente de Planning</t>
  </si>
  <si>
    <t>In Progress</t>
  </si>
  <si>
    <t>Historias Done</t>
  </si>
  <si>
    <t>Pendiente</t>
  </si>
  <si>
    <t>Historias Ready</t>
  </si>
  <si>
    <t>Ready</t>
  </si>
  <si>
    <t>Pendientes dentro de lo refinado</t>
  </si>
  <si>
    <t>Bloqueado</t>
  </si>
  <si>
    <t>Avance de historias refinadas</t>
  </si>
  <si>
    <t>Validación actual</t>
  </si>
  <si>
    <t>HU-027 Tauri/build/cargo PASS · HU-028 Web 95/95 + Desktop 7/7 + client-core 2/2 · HU-029 API 394/394 + E2E 15/15 + Desktop 16/16</t>
  </si>
  <si>
    <t>Pruebas actuales</t>
  </si>
  <si>
    <t>HU-027 a HU-029 PASS. Sprint 7 no se marca cerrado: el siguiente PBI Desktop permanece pendiente de refinamiento.</t>
  </si>
  <si>
    <t>• HU-027: fundación Tauri 2 + shell institucional Done (PR #112).
• HU-028: autenticación Desktop + @citajusta/client-core Done (PR #113).
• HU-029: gestión real de sedes/servicios Done (merge e1cdb2e).
• Validación manual Tauri/PostgreSQL de HU-029 completada.</t>
  </si>
  <si>
    <t>• Refinar el siguiente PBI de Sprint 7 antes de incorporarlo.
• Continuar progresivamente con módulos institucionales soportados por backend.
• Mantener evidencias Scrum/GitHub sincronizadas.</t>
  </si>
  <si>
    <t>Evidencia técnica al 23-09-2026</t>
  </si>
  <si>
    <t>Sprint 7 está en progreso. HU-027, HU-028 y HU-029 están Done e integradas a main. El Desktop ya posee fundación Tauri, autenticación real y primer módulo institucional funcional (Sedes y servicios).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</si>
</sst>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1">
    <font>
      <sz val="11"/>
      <color rgb="FF000000"/>
      <name val="Carlito"/>
    </font>
    <font>
      <b/>
      <sz val="16"/>
      <color rgb="FFFFFFFF"/>
      <name val="Carlito"/>
    </font>
    <font>
      <sz val="11"/>
      <name val="Carlito"/>
    </font>
    <font>
      <b/>
      <sz val="15"/>
      <color rgb="FFFFFFFF"/>
      <name val="Carlito"/>
    </font>
    <font>
      <sz val="11"/>
      <color theme="1"/>
      <name val="Carlito"/>
    </font>
    <font>
      <b/>
      <sz val="11"/>
      <color rgb="FF1F1F1F"/>
      <name val="Carlito"/>
    </font>
    <font>
      <sz val="11"/>
      <color rgb="FF000000"/>
      <name val="Carlito"/>
    </font>
    <font>
      <sz val="11"/>
      <color theme="1"/>
      <name val="Carlito"/>
    </font>
    <font>
      <b/>
      <sz val="11"/>
      <color theme="1"/>
      <name val="Carlito"/>
    </font>
    <font>
      <b/>
      <sz val="11"/>
      <color rgb="FF000000"/>
      <name val="Carlito"/>
    </font>
    <font>
      <sz val="11"/>
      <color theme="1"/>
      <name val="Carlito"/>
    </font>
  </fonts>
  <fills count="8">
    <fill>
      <patternFill patternType="none"/>
    </fill>
    <fill>
      <patternFill patternType="gray125"/>
    </fill>
    <fill>
      <patternFill patternType="solid">
        <fgColor theme="9"/>
      </patternFill>
    </fill>
    <fill>
      <patternFill patternType="solid">
        <fgColor rgb="FFF7F9FB"/>
      </patternFill>
    </fill>
    <fill>
      <patternFill patternType="solid">
        <fgColor rgb="FFB6D7A8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theme="9" tint="0.79992065187536243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58">
    <xf numFmtId="0" fontId="0" fillId="0" borderId="0" xfId="0"/>
    <xf numFmtId="0" fontId="5" fillId="4" borderId="4" xfId="0" applyFont="1" applyFill="1" applyBorder="1" applyAlignment="1">
      <alignment horizontal="center" vertical="center" wrapText="1"/>
    </xf>
    <xf numFmtId="0" fontId="7" fillId="0" borderId="0" xfId="0" applyFont="1" applyAlignment="1">
      <alignment vertical="center"/>
    </xf>
    <xf numFmtId="0" fontId="4" fillId="0" borderId="4" xfId="0" applyFont="1" applyBorder="1" applyAlignment="1">
      <alignment vertical="top" wrapText="1"/>
    </xf>
    <xf numFmtId="0" fontId="8" fillId="0" borderId="0" xfId="0" applyFont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9" fillId="4" borderId="4" xfId="0" applyFont="1" applyFill="1" applyBorder="1" applyAlignment="1">
      <alignment wrapText="1"/>
    </xf>
    <xf numFmtId="0" fontId="9" fillId="4" borderId="4" xfId="0" applyFont="1" applyFill="1" applyBorder="1" applyAlignment="1">
      <alignment horizontal="center" vertical="center" wrapText="1"/>
    </xf>
    <xf numFmtId="0" fontId="4" fillId="0" borderId="4" xfId="0" applyFont="1" applyBorder="1" applyAlignment="1">
      <alignment vertical="center" wrapText="1"/>
    </xf>
    <xf numFmtId="0" fontId="7" fillId="0" borderId="4" xfId="0" applyFont="1" applyBorder="1" applyAlignment="1">
      <alignment wrapText="1"/>
    </xf>
    <xf numFmtId="0" fontId="7" fillId="0" borderId="4" xfId="0" applyFont="1" applyBorder="1" applyAlignment="1">
      <alignment horizontal="center" vertical="center" wrapText="1"/>
    </xf>
    <xf numFmtId="164" fontId="6" fillId="0" borderId="4" xfId="0" applyNumberFormat="1" applyFont="1" applyBorder="1" applyAlignment="1">
      <alignment wrapText="1"/>
    </xf>
    <xf numFmtId="0" fontId="6" fillId="0" borderId="0" xfId="0" applyFont="1" applyAlignment="1">
      <alignment wrapText="1"/>
    </xf>
    <xf numFmtId="0" fontId="0" fillId="0" borderId="4" xfId="0" applyBorder="1" applyAlignment="1">
      <alignment wrapText="1"/>
    </xf>
    <xf numFmtId="0" fontId="0" fillId="0" borderId="0" xfId="0" applyAlignment="1">
      <alignment wrapText="1"/>
    </xf>
    <xf numFmtId="0" fontId="8" fillId="0" borderId="8" xfId="0" applyFont="1" applyBorder="1" applyAlignment="1">
      <alignment horizontal="center" vertical="center" wrapText="1"/>
    </xf>
    <xf numFmtId="0" fontId="4" fillId="0" borderId="14" xfId="0" applyFont="1" applyBorder="1" applyAlignment="1">
      <alignment vertical="top" wrapText="1"/>
    </xf>
    <xf numFmtId="0" fontId="8" fillId="7" borderId="13" xfId="0" applyFont="1" applyFill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 wrapText="1"/>
    </xf>
    <xf numFmtId="0" fontId="4" fillId="0" borderId="14" xfId="0" applyFont="1" applyBorder="1" applyAlignment="1">
      <alignment vertical="center" wrapText="1"/>
    </xf>
    <xf numFmtId="0" fontId="0" fillId="0" borderId="13" xfId="0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vertical="center" wrapText="1"/>
    </xf>
    <xf numFmtId="0" fontId="10" fillId="0" borderId="15" xfId="0" applyFont="1" applyBorder="1"/>
    <xf numFmtId="0" fontId="4" fillId="0" borderId="1" xfId="0" applyFont="1" applyBorder="1" applyAlignment="1">
      <alignment horizontal="center" vertical="center" wrapText="1"/>
    </xf>
    <xf numFmtId="0" fontId="2" fillId="0" borderId="2" xfId="0" applyFont="1" applyBorder="1"/>
    <xf numFmtId="0" fontId="2" fillId="0" borderId="3" xfId="0" applyFont="1" applyBorder="1"/>
    <xf numFmtId="0" fontId="0" fillId="0" borderId="1" xfId="0" applyBorder="1" applyAlignment="1">
      <alignment wrapText="1"/>
    </xf>
    <xf numFmtId="0" fontId="2" fillId="0" borderId="2" xfId="0" applyFont="1" applyBorder="1" applyAlignment="1">
      <alignment wrapText="1"/>
    </xf>
    <xf numFmtId="0" fontId="2" fillId="0" borderId="3" xfId="0" applyFont="1" applyBorder="1" applyAlignment="1">
      <alignment wrapText="1"/>
    </xf>
    <xf numFmtId="0" fontId="1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wrapText="1"/>
    </xf>
    <xf numFmtId="0" fontId="5" fillId="4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wrapText="1"/>
    </xf>
    <xf numFmtId="0" fontId="9" fillId="6" borderId="1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top" wrapText="1"/>
    </xf>
    <xf numFmtId="0" fontId="0" fillId="0" borderId="11" xfId="0" applyBorder="1" applyAlignment="1">
      <alignment horizontal="center" vertical="top" wrapText="1"/>
    </xf>
    <xf numFmtId="0" fontId="0" fillId="0" borderId="7" xfId="0" applyBorder="1" applyAlignment="1">
      <alignment horizontal="center" vertical="top" wrapText="1"/>
    </xf>
    <xf numFmtId="0" fontId="0" fillId="0" borderId="8" xfId="0" applyBorder="1" applyAlignment="1">
      <alignment horizontal="center" vertical="top" wrapText="1"/>
    </xf>
    <xf numFmtId="0" fontId="0" fillId="0" borderId="0" xfId="0" applyAlignment="1">
      <alignment horizontal="center" vertical="top" wrapText="1"/>
    </xf>
    <xf numFmtId="0" fontId="0" fillId="0" borderId="9" xfId="0" applyBorder="1" applyAlignment="1">
      <alignment horizontal="center" vertical="top" wrapText="1"/>
    </xf>
    <xf numFmtId="0" fontId="0" fillId="0" borderId="5" xfId="0" applyBorder="1" applyAlignment="1">
      <alignment horizontal="center" vertical="top" wrapText="1"/>
    </xf>
    <xf numFmtId="0" fontId="0" fillId="0" borderId="12" xfId="0" applyBorder="1" applyAlignment="1">
      <alignment horizontal="center" vertical="top" wrapText="1"/>
    </xf>
    <xf numFmtId="0" fontId="0" fillId="0" borderId="10" xfId="0" applyBorder="1" applyAlignment="1">
      <alignment horizontal="center" vertical="top" wrapText="1"/>
    </xf>
    <xf numFmtId="0" fontId="1" fillId="2" borderId="0" xfId="0" applyFont="1" applyFill="1" applyAlignment="1">
      <alignment horizontal="center"/>
    </xf>
    <xf numFmtId="0" fontId="0" fillId="0" borderId="0" xfId="0"/>
    <xf numFmtId="0" fontId="9" fillId="6" borderId="1" xfId="0" applyFont="1" applyFill="1" applyBorder="1" applyAlignment="1">
      <alignment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0" fillId="0" borderId="6" xfId="0" applyBorder="1" applyAlignment="1">
      <alignment vertical="center" wrapText="1"/>
    </xf>
    <xf numFmtId="0" fontId="2" fillId="0" borderId="7" xfId="0" applyFont="1" applyBorder="1" applyAlignment="1">
      <alignment wrapText="1"/>
    </xf>
    <xf numFmtId="0" fontId="2" fillId="0" borderId="8" xfId="0" applyFont="1" applyBorder="1"/>
    <xf numFmtId="0" fontId="2" fillId="0" borderId="9" xfId="0" applyFont="1" applyBorder="1"/>
    <xf numFmtId="0" fontId="2" fillId="0" borderId="5" xfId="0" applyFont="1" applyBorder="1"/>
    <xf numFmtId="0" fontId="2" fillId="0" borderId="10" xfId="0" applyFont="1" applyBorder="1"/>
    <xf numFmtId="0" fontId="0" fillId="0" borderId="6" xfId="0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</cellXfs>
  <cellStyles count="1">
    <cellStyle name="Normal" xfId="0" builtinId="0"/>
  </cellStyles>
  <dxfs count="7">
    <dxf>
      <fill>
        <patternFill>
          <bgColor rgb="FFF4CCCC"/>
        </patternFill>
      </fill>
    </dxf>
    <dxf>
      <fill>
        <patternFill>
          <bgColor rgb="FFF2F2F2"/>
        </patternFill>
      </fill>
    </dxf>
    <dxf>
      <fill>
        <patternFill>
          <bgColor rgb="FFFFF2CC"/>
        </patternFill>
      </fill>
    </dxf>
    <dxf>
      <fill>
        <patternFill>
          <bgColor rgb="FFD9EAF7"/>
        </patternFill>
      </fill>
    </dxf>
    <dxf>
      <fill>
        <patternFill>
          <bgColor rgb="FFE2F0D9"/>
        </patternFill>
      </fill>
    </dxf>
    <dxf>
      <border>
        <bottom style="thin">
          <color indexed="64"/>
        </bottom>
      </border>
    </dxf>
    <dxf>
      <border>
        <bottom style="thin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2"/>
  <c:chart>
    <c:title>
      <c:tx>
        <c:rich>
          <a:bodyPr/>
          <a:lstStyle/>
          <a:p>
            <a:r>
              <a:rPr lang="es-CL">
                <a:solidFill>
                  <a:srgbClr val="757575"/>
                </a:solidFill>
                <a:latin typeface="+mn-lt"/>
                <a:ea typeface="+mn-lt"/>
                <a:cs typeface="+mn-lt"/>
              </a:rPr>
              <a:t>Estado de tareas del Sprint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Tareas</c:v>
          </c:tx>
          <c:spPr>
            <a:solidFill>
              <a:srgbClr val="156082"/>
            </a:solidFill>
            <a:ln cmpd="sng">
              <a:noFill/>
            </a:ln>
          </c:spPr>
          <c:invertIfNegative val="1"/>
          <c:val>
            <c:numRef>
              <c:f>'Resumen Sprint'!$E$4:$E$6</c:f>
              <c:numCache>
                <c:formatCode>General</c:formatCode>
                <c:ptCount val="3"/>
                <c:pt idx="0">
                  <c:v>3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noFill/>
                  </a:ln>
                </c14:spPr>
              </c14:invertSolidFillFmt>
            </c:ext>
            <c:ext xmlns:c15="http://schemas.microsoft.com/office/drawing/2012/chart" uri="{02D57815-91ED-43cb-92C2-25804820EDAC}">
              <c15:filteredCategoryTitle>
                <c15:cat>
                  <mc:AlternateContent xmlns:mc="http://schemas.openxmlformats.org/markup-compatibility/2006">
                    <mc:Choice xmlns:c16ac="http://schemas.microsoft.com/office/drawing/2014/chart/ac" Requires="c16ac">
                      <c16ac:multiLvlStrLit>
                        <c:ptCount val="0"/>
                      </c16ac:multiLvlStrLit>
                    </mc:Choice>
                    <mc:Fallback>
                      <c:strLit/>
                    </mc:Fallback>
                  </mc:AlternateContent>
                </c15:cat>
              </c15:filteredCategoryTitle>
            </c:ext>
            <c:ext xmlns:c16="http://schemas.microsoft.com/office/drawing/2014/chart" uri="{C3380CC4-5D6E-409C-BE32-E72D297353CC}">
              <c16:uniqueId val="{00000000-C6E6-4E2A-868A-00572E0146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29487642"/>
        <c:axId val="1417177405"/>
      </c:barChart>
      <c:catAx>
        <c:axId val="1329487642"/>
        <c:scaling>
          <c:orientation val="minMax"/>
        </c:scaling>
        <c:delete val="0"/>
        <c:axPos val="b"/>
        <c:title>
          <c:overlay val="1"/>
          <c:txPr>
            <a:bodyPr anchorCtr="1"/>
            <a:lstStyle/>
            <a:p>
              <a:pPr>
                <a:defRPr b="0">
                  <a:solidFill>
                    <a:srgbClr val="000000"/>
                  </a:solidFill>
                  <a:latin typeface="+mn-lt"/>
                  <a:ea typeface="+mn-lt"/>
                  <a:cs typeface="+mn-lt"/>
                </a:defRPr>
              </a:pPr>
              <a:endParaRPr lang="es-CL"/>
            </a:p>
          </c:txPr>
        </c:title>
        <c:numFmt formatCode="General" sourceLinked="0"/>
        <c:majorTickMark val="none"/>
        <c:minorTickMark val="none"/>
        <c:tickLblPos val="nextTo"/>
        <c:spPr>
          <a:ln>
            <a:noFill/>
          </a:ln>
        </c:spPr>
        <c:txPr>
          <a:bodyPr anchorCtr="1"/>
          <a:lstStyle/>
          <a:p>
            <a:pPr>
              <a:defRPr b="0" i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CL"/>
          </a:p>
        </c:txPr>
        <c:crossAx val="1417177405"/>
        <c:crosses val="autoZero"/>
        <c:auto val="1"/>
        <c:lblAlgn val="ctr"/>
        <c:lblOffset val="100"/>
        <c:noMultiLvlLbl val="0"/>
      </c:catAx>
      <c:valAx>
        <c:axId val="141717740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overlay val="1"/>
          <c:txPr>
            <a:bodyPr anchorCtr="1"/>
            <a:lstStyle/>
            <a:p>
              <a:pPr>
                <a:defRPr b="0">
                  <a:solidFill>
                    <a:srgbClr val="000000"/>
                  </a:solidFill>
                  <a:latin typeface="+mn-lt"/>
                  <a:ea typeface="+mn-lt"/>
                  <a:cs typeface="+mn-lt"/>
                </a:defRPr>
              </a:pPr>
              <a:endParaRPr lang="es-CL"/>
            </a:p>
          </c:txPr>
        </c:title>
        <c:numFmt formatCode="General" sourceLinked="0"/>
        <c:majorTickMark val="none"/>
        <c:minorTickMark val="none"/>
        <c:tickLblPos val="nextTo"/>
        <c:spPr>
          <a:ln>
            <a:noFill/>
          </a:ln>
        </c:spPr>
        <c:txPr>
          <a:bodyPr anchorCtr="1"/>
          <a:lstStyle/>
          <a:p>
            <a:pPr>
              <a:defRPr b="0" i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CL"/>
          </a:p>
        </c:txPr>
        <c:crossAx val="1329487642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800100</xdr:colOff>
      <xdr:row>8</xdr:row>
      <xdr:rowOff>66675</xdr:rowOff>
    </xdr:from>
    <xdr:ext cx="7296150" cy="3619500"/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_1" displayName="Tabla_1" ref="A12:N15" headerRowBorderDxfId="6">
  <tableColumns count="14">
    <tableColumn id="1" xr3:uid="{00000000-0010-0000-0000-000001000000}" name="PBI / HU"/>
    <tableColumn id="2" xr3:uid="{00000000-0010-0000-0000-000002000000}" name="Tarea ID"/>
    <tableColumn id="3" xr3:uid="{00000000-0010-0000-0000-000003000000}" name="Tarea / actividad"/>
    <tableColumn id="4" xr3:uid="{00000000-0010-0000-0000-000004000000}" name="Tipo"/>
    <tableColumn id="5" xr3:uid="{00000000-0010-0000-0000-000005000000}" name="Prioridad"/>
    <tableColumn id="6" xr3:uid="{00000000-0010-0000-0000-000006000000}" name="Estimación (h)"/>
    <tableColumn id="7" xr3:uid="{00000000-0010-0000-0000-000007000000}" name="Responsable"/>
    <tableColumn id="8" xr3:uid="{00000000-0010-0000-0000-000008000000}" name="Estado"/>
    <tableColumn id="9" xr3:uid="{00000000-0010-0000-0000-000009000000}" name="Dependencias / impedimentos"/>
    <tableColumn id="10" xr3:uid="{00000000-0010-0000-0000-00000A000000}" name="Criterio de término"/>
    <tableColumn id="11" xr3:uid="{00000000-0010-0000-0000-00000B000000}" name="Rama / PR"/>
    <tableColumn id="12" xr3:uid="{00000000-0010-0000-0000-00000C000000}" name="Día consumido"/>
    <tableColumn id="13" xr3:uid="{00000000-0010-0000-0000-00000D000000}" name="Horas reales"/>
    <tableColumn id="14" xr3:uid="{00000000-0010-0000-0000-00000E000000}" name="Notas"/>
  </tableColumns>
  <tableStyleInfo name="Sprint Backlog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_2" displayName="Tabla_2" ref="B5:P13" headerRowBorderDxfId="5">
  <tableColumns count="15">
    <tableColumn id="1" xr3:uid="{00000000-0010-0000-0100-000001000000}" name="Tarea"/>
    <tableColumn id="2" xr3:uid="{00000000-0010-0000-0100-000002000000}" name="Horas estimadas"/>
    <tableColumn id="3" xr3:uid="{00000000-0010-0000-0100-000003000000}" name="Día 1 Cons."/>
    <tableColumn id="4" xr3:uid="{00000000-0010-0000-0100-000004000000}" name="Día 1 Rest."/>
    <tableColumn id="5" xr3:uid="{00000000-0010-0000-0100-000005000000}" name="Día 2 Cons."/>
    <tableColumn id="6" xr3:uid="{00000000-0010-0000-0100-000006000000}" name="Día 2 Rest."/>
    <tableColumn id="7" xr3:uid="{00000000-0010-0000-0100-000007000000}" name="Día 3 Cons."/>
    <tableColumn id="8" xr3:uid="{00000000-0010-0000-0100-000008000000}" name="Día 3 Rest."/>
    <tableColumn id="9" xr3:uid="{00000000-0010-0000-0100-000009000000}" name="Día 4 Cons."/>
    <tableColumn id="10" xr3:uid="{00000000-0010-0000-0100-00000A000000}" name="Día 4 Rest."/>
    <tableColumn id="11" xr3:uid="{00000000-0010-0000-0100-00000B000000}" name="Día 5 Cons."/>
    <tableColumn id="12" xr3:uid="{00000000-0010-0000-0100-00000C000000}" name="Día 5 Rest."/>
    <tableColumn id="13" xr3:uid="{00000000-0010-0000-0100-00000D000000}" name="Total consumido"/>
    <tableColumn id="14" xr3:uid="{00000000-0010-0000-0100-00000E000000}" name="Restante final"/>
    <tableColumn id="15" xr3:uid="{00000000-0010-0000-0100-00000F000000}" name="Observación"/>
  </tableColumns>
  <tableStyleInfo name="Control Diario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000"/>
  <sheetViews>
    <sheetView workbookViewId="0">
      <selection activeCell="F18" sqref="F18"/>
    </sheetView>
  </sheetViews>
  <sheetFormatPr baseColWidth="10" defaultColWidth="12.625" defaultRowHeight="14.25"/>
  <cols>
    <col min="1" max="1" width="22.625" customWidth="1"/>
    <col min="2" max="2" width="12" customWidth="1"/>
    <col min="3" max="3" width="46" customWidth="1"/>
    <col min="4" max="4" width="14" customWidth="1"/>
    <col min="5" max="5" width="15.75" customWidth="1"/>
    <col min="6" max="6" width="19.5" customWidth="1"/>
    <col min="7" max="7" width="21.75" customWidth="1"/>
    <col min="8" max="8" width="14" customWidth="1"/>
    <col min="9" max="9" width="38" customWidth="1"/>
    <col min="10" max="10" width="42" customWidth="1"/>
    <col min="11" max="11" width="34" customWidth="1"/>
    <col min="12" max="13" width="14" customWidth="1"/>
    <col min="14" max="14" width="46" customWidth="1"/>
  </cols>
  <sheetData>
    <row r="1" spans="1:14" ht="27.75" customHeight="1">
      <c r="A1" s="30" t="s">
        <v>52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6"/>
    </row>
    <row r="2" spans="1:14" ht="37.5" customHeight="1">
      <c r="A2" s="31" t="s">
        <v>53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9"/>
    </row>
    <row r="4" spans="1:14" ht="15">
      <c r="A4" s="1" t="s">
        <v>0</v>
      </c>
      <c r="B4" s="32" t="s">
        <v>1</v>
      </c>
      <c r="C4" s="25"/>
      <c r="D4" s="26"/>
    </row>
    <row r="5" spans="1:14">
      <c r="A5" s="3" t="s">
        <v>2</v>
      </c>
      <c r="B5" s="24" t="s">
        <v>54</v>
      </c>
      <c r="C5" s="25"/>
      <c r="D5" s="26"/>
    </row>
    <row r="6" spans="1:14">
      <c r="A6" s="3" t="s">
        <v>3</v>
      </c>
      <c r="B6" s="24" t="s">
        <v>55</v>
      </c>
      <c r="C6" s="25"/>
      <c r="D6" s="26"/>
    </row>
    <row r="7" spans="1:14">
      <c r="A7" s="3" t="s">
        <v>4</v>
      </c>
      <c r="B7" s="24" t="s">
        <v>56</v>
      </c>
      <c r="C7" s="25"/>
      <c r="D7" s="26"/>
    </row>
    <row r="8" spans="1:14">
      <c r="A8" s="3" t="s">
        <v>5</v>
      </c>
      <c r="B8" s="24" t="s">
        <v>6</v>
      </c>
      <c r="C8" s="25"/>
      <c r="D8" s="26"/>
    </row>
    <row r="9" spans="1:14">
      <c r="A9" s="13" t="s">
        <v>7</v>
      </c>
      <c r="B9" s="27" t="s">
        <v>57</v>
      </c>
      <c r="C9" s="28"/>
      <c r="D9" s="29"/>
      <c r="E9" s="14"/>
      <c r="F9" s="14"/>
      <c r="G9" s="14"/>
      <c r="H9" s="14"/>
      <c r="I9" s="14"/>
      <c r="J9" s="14"/>
      <c r="K9" s="14"/>
      <c r="L9" s="14"/>
      <c r="M9" s="14"/>
      <c r="N9" s="14"/>
    </row>
    <row r="10" spans="1:14" ht="22.5" customHeight="1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</row>
    <row r="11" spans="1:14" ht="22.5" customHeight="1">
      <c r="A11" s="15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</row>
    <row r="12" spans="1:14" ht="36" customHeight="1">
      <c r="A12" s="17" t="s">
        <v>8</v>
      </c>
      <c r="B12" s="17" t="s">
        <v>9</v>
      </c>
      <c r="C12" s="17" t="s">
        <v>10</v>
      </c>
      <c r="D12" s="17" t="s">
        <v>11</v>
      </c>
      <c r="E12" s="17" t="s">
        <v>12</v>
      </c>
      <c r="F12" s="17" t="s">
        <v>13</v>
      </c>
      <c r="G12" s="17" t="s">
        <v>14</v>
      </c>
      <c r="H12" s="17" t="s">
        <v>3</v>
      </c>
      <c r="I12" s="17" t="s">
        <v>15</v>
      </c>
      <c r="J12" s="17" t="s">
        <v>16</v>
      </c>
      <c r="K12" s="17" t="s">
        <v>17</v>
      </c>
      <c r="L12" s="17" t="s">
        <v>18</v>
      </c>
      <c r="M12" s="17" t="s">
        <v>19</v>
      </c>
      <c r="N12" s="17" t="s">
        <v>20</v>
      </c>
    </row>
    <row r="13" spans="1:14" ht="48" customHeight="1">
      <c r="A13" s="16" t="s">
        <v>58</v>
      </c>
      <c r="B13" s="16" t="s">
        <v>59</v>
      </c>
      <c r="C13" s="16" t="s">
        <v>60</v>
      </c>
      <c r="D13" s="16" t="s">
        <v>61</v>
      </c>
      <c r="E13" s="16" t="s">
        <v>62</v>
      </c>
      <c r="F13" s="16"/>
      <c r="G13" s="16" t="s">
        <v>6</v>
      </c>
      <c r="H13" s="16" t="s">
        <v>63</v>
      </c>
      <c r="I13" s="16" t="s">
        <v>64</v>
      </c>
      <c r="J13" s="16" t="s">
        <v>65</v>
      </c>
      <c r="K13" s="16" t="s">
        <v>66</v>
      </c>
      <c r="L13" s="16"/>
      <c r="M13" s="16"/>
      <c r="N13" s="16" t="s">
        <v>67</v>
      </c>
    </row>
    <row r="14" spans="1:14" ht="48" customHeight="1">
      <c r="A14" s="3" t="s">
        <v>68</v>
      </c>
      <c r="B14" s="3" t="s">
        <v>69</v>
      </c>
      <c r="C14" s="3" t="s">
        <v>70</v>
      </c>
      <c r="D14" s="3" t="s">
        <v>71</v>
      </c>
      <c r="E14" s="3" t="s">
        <v>72</v>
      </c>
      <c r="F14" s="3"/>
      <c r="G14" s="3" t="s">
        <v>6</v>
      </c>
      <c r="H14" s="3" t="s">
        <v>63</v>
      </c>
      <c r="I14" s="3" t="s">
        <v>73</v>
      </c>
      <c r="J14" s="3" t="s">
        <v>74</v>
      </c>
      <c r="K14" s="3" t="s">
        <v>75</v>
      </c>
      <c r="L14" s="3"/>
      <c r="M14" s="3"/>
      <c r="N14" s="3" t="s">
        <v>76</v>
      </c>
    </row>
    <row r="15" spans="1:14" ht="48" customHeight="1">
      <c r="A15" s="3" t="s">
        <v>77</v>
      </c>
      <c r="B15" s="3" t="s">
        <v>78</v>
      </c>
      <c r="C15" s="3" t="s">
        <v>79</v>
      </c>
      <c r="D15" s="3" t="s">
        <v>80</v>
      </c>
      <c r="E15" s="3" t="s">
        <v>62</v>
      </c>
      <c r="F15" s="3"/>
      <c r="G15" s="3" t="s">
        <v>6</v>
      </c>
      <c r="H15" s="3" t="s">
        <v>63</v>
      </c>
      <c r="I15" s="3" t="s">
        <v>81</v>
      </c>
      <c r="J15" s="3" t="s">
        <v>82</v>
      </c>
      <c r="K15" s="3" t="s">
        <v>83</v>
      </c>
      <c r="L15" s="3"/>
      <c r="M15" s="3"/>
      <c r="N15" s="3" t="s">
        <v>84</v>
      </c>
    </row>
    <row r="16" spans="1:14" ht="48" customHeight="1"/>
    <row r="17" spans="1:5" ht="48" customHeight="1"/>
    <row r="18" spans="1:5" ht="48" customHeight="1"/>
    <row r="19" spans="1:5" ht="48" customHeight="1">
      <c r="A19" s="24" t="s">
        <v>85</v>
      </c>
      <c r="B19" s="56"/>
      <c r="C19" s="56"/>
      <c r="D19" s="56"/>
      <c r="E19" s="57"/>
    </row>
    <row r="20" spans="1:5" ht="85.5" customHeight="1"/>
    <row r="21" spans="1:5" ht="57.95" customHeight="1"/>
    <row r="22" spans="1:5" ht="57.95" customHeight="1"/>
    <row r="23" spans="1:5" ht="57" customHeight="1"/>
    <row r="24" spans="1:5" ht="48.75" customHeight="1"/>
    <row r="25" spans="1:5" ht="48" customHeight="1"/>
    <row r="26" spans="1:5" ht="38.25" customHeight="1"/>
    <row r="27" spans="1:5" ht="15.75" customHeight="1"/>
    <row r="28" spans="1:5" ht="15.75" customHeight="1"/>
    <row r="29" spans="1:5" ht="15.75" customHeight="1"/>
    <row r="30" spans="1:5" ht="15.75" customHeight="1"/>
    <row r="31" spans="1:5" ht="15.75" customHeight="1"/>
    <row r="32" spans="1:5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9">
    <mergeCell ref="A1:N1"/>
    <mergeCell ref="A2:N2"/>
    <mergeCell ref="B4:D4"/>
    <mergeCell ref="B5:D5"/>
    <mergeCell ref="B6:D6"/>
    <mergeCell ref="B7:D7"/>
    <mergeCell ref="B8:D8"/>
    <mergeCell ref="B9:D9"/>
    <mergeCell ref="A19:E19"/>
  </mergeCells>
  <conditionalFormatting sqref="H13:H15">
    <cfRule type="expression" dxfId="4" priority="1">
      <formula>H13="Done"</formula>
    </cfRule>
    <cfRule type="expression" dxfId="3" priority="2">
      <formula>H13="Ready"</formula>
    </cfRule>
    <cfRule type="expression" dxfId="2" priority="3">
      <formula>H13="En progreso"</formula>
    </cfRule>
    <cfRule type="expression" dxfId="1" priority="4">
      <formula>H13="Pendiente"</formula>
    </cfRule>
    <cfRule type="expression" dxfId="0" priority="5">
      <formula>H13="Bloqueado"</formula>
    </cfRule>
  </conditionalFormatting>
  <dataValidations count="4">
    <dataValidation type="list" allowBlank="1" sqref="H13:H15" xr:uid="{00000000-0002-0000-0000-000002000000}">
      <formula1>"Pendiente,En progreso,Bloqueado,Done"</formula1>
    </dataValidation>
    <dataValidation type="custom" allowBlank="1" showDropDown="1" sqref="F13:F15" xr:uid="{00000000-0002-0000-0000-000003000000}"/>
    <dataValidation type="list" allowBlank="1" showDropDown="1" showErrorMessage="1" sqref="D13:D15" xr:uid="{00000000-0002-0000-0000-000001000000}">
      <formula1>"Backend,Testing"</formula1>
    </dataValidation>
    <dataValidation type="list" allowBlank="1" sqref="E13:E15" xr:uid="{00000000-0002-0000-0000-000000000000}">
      <formula1>"Crítica,Alta,Media,Baja"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1000"/>
  <sheetViews>
    <sheetView topLeftCell="A9" workbookViewId="0">
      <selection sqref="A1:P1"/>
    </sheetView>
  </sheetViews>
  <sheetFormatPr baseColWidth="10" defaultColWidth="12.625" defaultRowHeight="14.25"/>
  <cols>
    <col min="1" max="2" width="14" customWidth="1"/>
    <col min="3" max="3" width="15.625" customWidth="1"/>
    <col min="4" max="12" width="13" customWidth="1"/>
    <col min="13" max="13" width="15" customWidth="1"/>
    <col min="14" max="14" width="17.125" customWidth="1"/>
    <col min="15" max="15" width="36" customWidth="1"/>
    <col min="16" max="16" width="25.125" customWidth="1"/>
  </cols>
  <sheetData>
    <row r="1" spans="1:16" ht="27.75" customHeight="1">
      <c r="A1" s="33" t="s">
        <v>86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6"/>
    </row>
    <row r="2" spans="1:16">
      <c r="A2" s="34" t="s">
        <v>87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9"/>
    </row>
    <row r="3" spans="1:16" ht="22.5" customHeight="1"/>
    <row r="4" spans="1:16" ht="22.5" customHeight="1"/>
    <row r="5" spans="1:16" ht="65.25" customHeight="1">
      <c r="A5" s="2"/>
      <c r="B5" s="17" t="s">
        <v>21</v>
      </c>
      <c r="C5" s="17" t="s">
        <v>22</v>
      </c>
      <c r="D5" s="17" t="s">
        <v>23</v>
      </c>
      <c r="E5" s="17" t="s">
        <v>24</v>
      </c>
      <c r="F5" s="17" t="s">
        <v>25</v>
      </c>
      <c r="G5" s="17" t="s">
        <v>26</v>
      </c>
      <c r="H5" s="17" t="s">
        <v>27</v>
      </c>
      <c r="I5" s="17" t="s">
        <v>28</v>
      </c>
      <c r="J5" s="17" t="s">
        <v>29</v>
      </c>
      <c r="K5" s="17" t="s">
        <v>30</v>
      </c>
      <c r="L5" s="17" t="s">
        <v>31</v>
      </c>
      <c r="M5" s="17" t="s">
        <v>32</v>
      </c>
      <c r="N5" s="17" t="s">
        <v>33</v>
      </c>
      <c r="O5" s="17" t="s">
        <v>34</v>
      </c>
      <c r="P5" s="17" t="s">
        <v>7</v>
      </c>
    </row>
    <row r="6" spans="1:16" ht="42.75" customHeight="1">
      <c r="A6" s="2"/>
      <c r="B6" s="18" t="s">
        <v>35</v>
      </c>
      <c r="C6" s="18"/>
      <c r="D6" s="18"/>
      <c r="E6" s="18" t="str">
        <f t="shared" ref="E6:E13" si="0">IF(C6="","",IF(D6="",C6,MAX(0,C6-D6)))</f>
        <v/>
      </c>
      <c r="F6" s="18"/>
      <c r="G6" s="18" t="str">
        <f t="shared" ref="G6:G13" si="1">IF(C6="","",IF(F6="",E6,MAX(0,E6-F6)))</f>
        <v/>
      </c>
      <c r="H6" s="18"/>
      <c r="I6" s="18" t="str">
        <f t="shared" ref="I6:I13" si="2">IF(C6="","",IF(H6="",G6,MAX(0,G6-H6)))</f>
        <v/>
      </c>
      <c r="J6" s="18"/>
      <c r="K6" s="18" t="str">
        <f t="shared" ref="K6:K13" si="3">IF(C6="","",IF(J6="",I6,MAX(0,I6-J6)))</f>
        <v/>
      </c>
      <c r="L6" s="18"/>
      <c r="M6" s="18" t="str">
        <f t="shared" ref="M6:M13" si="4">IF(C6="","",IF(L6="",K6,MAX(0,K6-L6)))</f>
        <v/>
      </c>
      <c r="N6" s="19" t="str">
        <f>IF(C6="","",SUM(D6,F6,H6,J6,L6))</f>
        <v/>
      </c>
      <c r="O6" s="19" t="str">
        <f t="shared" ref="O6:O13" si="5">IF(C6="","",MAX(0,C6-N6))</f>
        <v/>
      </c>
      <c r="P6" s="18" t="s">
        <v>36</v>
      </c>
    </row>
    <row r="7" spans="1:16" ht="48.75" customHeight="1">
      <c r="A7" s="2"/>
      <c r="B7" s="5" t="s">
        <v>37</v>
      </c>
      <c r="C7" s="5"/>
      <c r="D7" s="5"/>
      <c r="E7" s="5" t="str">
        <f t="shared" si="0"/>
        <v/>
      </c>
      <c r="F7" s="5"/>
      <c r="G7" s="5" t="str">
        <f t="shared" si="1"/>
        <v/>
      </c>
      <c r="H7" s="5"/>
      <c r="I7" s="5" t="str">
        <f t="shared" si="2"/>
        <v/>
      </c>
      <c r="J7" s="5"/>
      <c r="K7" s="5" t="str">
        <f t="shared" si="3"/>
        <v/>
      </c>
      <c r="L7" s="5"/>
      <c r="M7" s="5" t="str">
        <f t="shared" si="4"/>
        <v/>
      </c>
      <c r="N7" s="8" t="str">
        <f t="shared" ref="N7:N13" si="6">IF(C7="","",SUM(D7,F7,H7,J7,L7))</f>
        <v/>
      </c>
      <c r="O7" s="8" t="str">
        <f t="shared" si="5"/>
        <v/>
      </c>
      <c r="P7" s="5" t="s">
        <v>36</v>
      </c>
    </row>
    <row r="8" spans="1:16" ht="51" customHeight="1">
      <c r="A8" s="2"/>
      <c r="B8" s="5" t="s">
        <v>38</v>
      </c>
      <c r="C8" s="5"/>
      <c r="D8" s="5"/>
      <c r="E8" s="5" t="str">
        <f t="shared" si="0"/>
        <v/>
      </c>
      <c r="F8" s="5"/>
      <c r="G8" s="5" t="str">
        <f t="shared" si="1"/>
        <v/>
      </c>
      <c r="H8" s="5"/>
      <c r="I8" s="5" t="str">
        <f t="shared" si="2"/>
        <v/>
      </c>
      <c r="J8" s="5"/>
      <c r="K8" s="5" t="str">
        <f t="shared" si="3"/>
        <v/>
      </c>
      <c r="L8" s="5"/>
      <c r="M8" s="5" t="str">
        <f t="shared" si="4"/>
        <v/>
      </c>
      <c r="N8" s="8" t="str">
        <f t="shared" si="6"/>
        <v/>
      </c>
      <c r="O8" s="8" t="str">
        <f t="shared" si="5"/>
        <v/>
      </c>
      <c r="P8" s="5" t="s">
        <v>36</v>
      </c>
    </row>
    <row r="9" spans="1:16" ht="54" customHeight="1">
      <c r="A9" s="2"/>
      <c r="B9" s="5" t="s">
        <v>39</v>
      </c>
      <c r="C9" s="5"/>
      <c r="D9" s="5"/>
      <c r="E9" s="5" t="str">
        <f t="shared" si="0"/>
        <v/>
      </c>
      <c r="F9" s="5"/>
      <c r="G9" s="5" t="str">
        <f t="shared" si="1"/>
        <v/>
      </c>
      <c r="H9" s="5"/>
      <c r="I9" s="5" t="str">
        <f t="shared" si="2"/>
        <v/>
      </c>
      <c r="J9" s="5"/>
      <c r="K9" s="5" t="str">
        <f t="shared" si="3"/>
        <v/>
      </c>
      <c r="L9" s="5"/>
      <c r="M9" s="5" t="str">
        <f t="shared" si="4"/>
        <v/>
      </c>
      <c r="N9" s="8" t="str">
        <f t="shared" si="6"/>
        <v/>
      </c>
      <c r="O9" s="8" t="str">
        <f t="shared" si="5"/>
        <v/>
      </c>
      <c r="P9" s="5" t="s">
        <v>36</v>
      </c>
    </row>
    <row r="10" spans="1:16" ht="74.25" customHeight="1">
      <c r="A10" s="2"/>
      <c r="B10" s="5" t="s">
        <v>40</v>
      </c>
      <c r="C10" s="5"/>
      <c r="D10" s="5"/>
      <c r="E10" s="5" t="str">
        <f t="shared" si="0"/>
        <v/>
      </c>
      <c r="F10" s="5"/>
      <c r="G10" s="5" t="str">
        <f t="shared" si="1"/>
        <v/>
      </c>
      <c r="H10" s="5"/>
      <c r="I10" s="5" t="str">
        <f t="shared" si="2"/>
        <v/>
      </c>
      <c r="J10" s="5"/>
      <c r="K10" s="5" t="str">
        <f t="shared" si="3"/>
        <v/>
      </c>
      <c r="L10" s="5"/>
      <c r="M10" s="5" t="str">
        <f t="shared" si="4"/>
        <v/>
      </c>
      <c r="N10" s="8" t="str">
        <f t="shared" si="6"/>
        <v/>
      </c>
      <c r="O10" s="8" t="str">
        <f t="shared" si="5"/>
        <v/>
      </c>
      <c r="P10" s="5" t="s">
        <v>36</v>
      </c>
    </row>
    <row r="11" spans="1:16" ht="60.75" customHeight="1">
      <c r="A11" s="2"/>
      <c r="B11" s="5" t="s">
        <v>41</v>
      </c>
      <c r="C11" s="5"/>
      <c r="D11" s="5"/>
      <c r="E11" s="5" t="str">
        <f t="shared" si="0"/>
        <v/>
      </c>
      <c r="F11" s="5"/>
      <c r="G11" s="5" t="str">
        <f t="shared" si="1"/>
        <v/>
      </c>
      <c r="H11" s="5"/>
      <c r="I11" s="5" t="str">
        <f t="shared" si="2"/>
        <v/>
      </c>
      <c r="J11" s="5"/>
      <c r="K11" s="5" t="str">
        <f t="shared" si="3"/>
        <v/>
      </c>
      <c r="L11" s="5"/>
      <c r="M11" s="5" t="str">
        <f t="shared" si="4"/>
        <v/>
      </c>
      <c r="N11" s="8" t="str">
        <f t="shared" si="6"/>
        <v/>
      </c>
      <c r="O11" s="8" t="str">
        <f t="shared" si="5"/>
        <v/>
      </c>
      <c r="P11" s="5" t="s">
        <v>36</v>
      </c>
    </row>
    <row r="12" spans="1:16" ht="66" customHeight="1">
      <c r="A12" s="2"/>
      <c r="B12" s="5" t="s">
        <v>42</v>
      </c>
      <c r="C12" s="5"/>
      <c r="D12" s="5"/>
      <c r="E12" s="5" t="str">
        <f t="shared" si="0"/>
        <v/>
      </c>
      <c r="F12" s="5"/>
      <c r="G12" s="5" t="str">
        <f t="shared" si="1"/>
        <v/>
      </c>
      <c r="H12" s="5"/>
      <c r="I12" s="5" t="str">
        <f t="shared" si="2"/>
        <v/>
      </c>
      <c r="J12" s="5"/>
      <c r="K12" s="5" t="str">
        <f t="shared" si="3"/>
        <v/>
      </c>
      <c r="L12" s="5"/>
      <c r="M12" s="5" t="str">
        <f t="shared" si="4"/>
        <v/>
      </c>
      <c r="N12" s="8" t="str">
        <f t="shared" si="6"/>
        <v/>
      </c>
      <c r="O12" s="8" t="str">
        <f t="shared" si="5"/>
        <v/>
      </c>
      <c r="P12" s="5" t="s">
        <v>43</v>
      </c>
    </row>
    <row r="13" spans="1:16" ht="69.75" customHeight="1">
      <c r="A13" s="2"/>
      <c r="B13" s="21" t="s">
        <v>44</v>
      </c>
      <c r="C13" s="21"/>
      <c r="D13" s="21"/>
      <c r="E13" s="21" t="str">
        <f t="shared" si="0"/>
        <v/>
      </c>
      <c r="F13" s="21"/>
      <c r="G13" s="21" t="str">
        <f t="shared" si="1"/>
        <v/>
      </c>
      <c r="H13" s="21"/>
      <c r="I13" s="21" t="str">
        <f t="shared" si="2"/>
        <v/>
      </c>
      <c r="J13" s="21"/>
      <c r="K13" s="21" t="str">
        <f t="shared" si="3"/>
        <v/>
      </c>
      <c r="L13" s="21"/>
      <c r="M13" s="21" t="str">
        <f t="shared" si="4"/>
        <v/>
      </c>
      <c r="N13" s="22" t="str">
        <f t="shared" si="6"/>
        <v/>
      </c>
      <c r="O13" s="22" t="str">
        <f t="shared" si="5"/>
        <v/>
      </c>
      <c r="P13" s="21" t="s">
        <v>45</v>
      </c>
    </row>
    <row r="14" spans="1:16" ht="38.1" customHeight="1">
      <c r="A14" s="14"/>
      <c r="B14" s="20" t="s">
        <v>46</v>
      </c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 t="s">
        <v>47</v>
      </c>
    </row>
    <row r="15" spans="1:16" ht="38.1" customHeight="1">
      <c r="A15" s="14"/>
      <c r="B15" s="20" t="s">
        <v>48</v>
      </c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  <c r="P15" s="20" t="s">
        <v>49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P1"/>
    <mergeCell ref="A2:P2"/>
  </mergeCells>
  <dataValidations count="1">
    <dataValidation type="custom" allowBlank="1" showDropDown="1" sqref="N6:O13" xr:uid="{00000000-0002-0000-0100-000000000000}">
      <formula1>AND(ISNUMBER(N6),(NOT(OR(NOT(ISERROR(DATEVALUE(N6))), AND(ISNUMBER(N6), LEFT(CELL("format", N6))="D")))))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00"/>
  <sheetViews>
    <sheetView tabSelected="1" topLeftCell="A14" workbookViewId="0">
      <selection sqref="A1:E1"/>
    </sheetView>
  </sheetViews>
  <sheetFormatPr baseColWidth="10" defaultColWidth="12.625" defaultRowHeight="14.25"/>
  <cols>
    <col min="1" max="1" width="30" customWidth="1"/>
    <col min="2" max="2" width="28.75" customWidth="1"/>
    <col min="3" max="3" width="11.75" customWidth="1"/>
    <col min="4" max="4" width="26" customWidth="1"/>
    <col min="5" max="5" width="18" customWidth="1"/>
    <col min="6" max="6" width="8.625" customWidth="1"/>
  </cols>
  <sheetData>
    <row r="1" spans="1:5" ht="20.25">
      <c r="A1" s="45" t="s">
        <v>88</v>
      </c>
      <c r="B1" s="46"/>
      <c r="C1" s="46"/>
      <c r="D1" s="46"/>
      <c r="E1" s="46"/>
    </row>
    <row r="3" spans="1:5" ht="15">
      <c r="A3" s="6" t="s">
        <v>89</v>
      </c>
      <c r="B3" s="6" t="s">
        <v>1</v>
      </c>
      <c r="D3" s="7" t="s">
        <v>3</v>
      </c>
      <c r="E3" s="7" t="s">
        <v>90</v>
      </c>
    </row>
    <row r="4" spans="1:5">
      <c r="A4" s="9" t="s">
        <v>91</v>
      </c>
      <c r="B4" s="9">
        <v>3</v>
      </c>
      <c r="D4" s="10" t="s">
        <v>63</v>
      </c>
      <c r="E4" s="10">
        <f t="shared" ref="E4:E6" si="0">B6</f>
        <v>3</v>
      </c>
    </row>
    <row r="5" spans="1:5">
      <c r="A5" s="9" t="s">
        <v>92</v>
      </c>
      <c r="B5" s="9" t="s">
        <v>93</v>
      </c>
      <c r="D5" s="10" t="s">
        <v>94</v>
      </c>
      <c r="E5" s="10">
        <f t="shared" si="0"/>
        <v>0</v>
      </c>
    </row>
    <row r="6" spans="1:5">
      <c r="A6" s="9" t="s">
        <v>95</v>
      </c>
      <c r="B6" s="9">
        <v>3</v>
      </c>
      <c r="D6" s="10" t="s">
        <v>96</v>
      </c>
      <c r="E6" s="10">
        <f t="shared" si="0"/>
        <v>0</v>
      </c>
    </row>
    <row r="7" spans="1:5">
      <c r="A7" s="9" t="s">
        <v>97</v>
      </c>
      <c r="B7" s="9">
        <v>0</v>
      </c>
      <c r="D7" s="23" t="s">
        <v>98</v>
      </c>
      <c r="E7" s="23">
        <v>0</v>
      </c>
    </row>
    <row r="8" spans="1:5">
      <c r="A8" s="9" t="s">
        <v>99</v>
      </c>
      <c r="B8" s="9">
        <v>0</v>
      </c>
      <c r="D8" s="20" t="s">
        <v>100</v>
      </c>
      <c r="E8" s="20">
        <v>0</v>
      </c>
    </row>
    <row r="9" spans="1:5">
      <c r="A9" s="9" t="s">
        <v>101</v>
      </c>
      <c r="B9" s="11">
        <v>1</v>
      </c>
    </row>
    <row r="10" spans="1:5" ht="71.25">
      <c r="A10" s="9" t="s">
        <v>102</v>
      </c>
      <c r="B10" s="11" t="s">
        <v>103</v>
      </c>
    </row>
    <row r="11" spans="1:5" ht="57">
      <c r="A11" s="9" t="s">
        <v>104</v>
      </c>
      <c r="B11" s="9" t="s">
        <v>105</v>
      </c>
    </row>
    <row r="14" spans="1:5">
      <c r="A14" s="47" t="s">
        <v>50</v>
      </c>
      <c r="B14" s="26"/>
      <c r="D14" s="48" t="s">
        <v>51</v>
      </c>
      <c r="E14" s="26"/>
    </row>
    <row r="15" spans="1:5">
      <c r="A15" s="49" t="s">
        <v>106</v>
      </c>
      <c r="B15" s="50"/>
      <c r="C15" s="14"/>
      <c r="D15" s="55" t="s">
        <v>107</v>
      </c>
      <c r="E15" s="50"/>
    </row>
    <row r="16" spans="1:5">
      <c r="A16" s="51"/>
      <c r="B16" s="52"/>
      <c r="D16" s="51"/>
      <c r="E16" s="52"/>
    </row>
    <row r="17" spans="1:5">
      <c r="A17" s="51"/>
      <c r="B17" s="52"/>
      <c r="D17" s="51"/>
      <c r="E17" s="52"/>
    </row>
    <row r="18" spans="1:5">
      <c r="A18" s="51"/>
      <c r="B18" s="52"/>
      <c r="D18" s="51"/>
      <c r="E18" s="52"/>
    </row>
    <row r="19" spans="1:5">
      <c r="A19" s="51"/>
      <c r="B19" s="52"/>
      <c r="D19" s="51"/>
      <c r="E19" s="52"/>
    </row>
    <row r="20" spans="1:5" ht="94.5" customHeight="1">
      <c r="A20" s="53"/>
      <c r="B20" s="54"/>
      <c r="D20" s="53"/>
      <c r="E20" s="54"/>
    </row>
    <row r="21" spans="1:5" ht="15.75" customHeight="1">
      <c r="A21" s="12"/>
      <c r="B21" s="12"/>
      <c r="D21" s="12"/>
      <c r="E21" s="12"/>
    </row>
    <row r="22" spans="1:5" ht="24" customHeight="1">
      <c r="A22" s="35" t="s">
        <v>108</v>
      </c>
      <c r="B22" s="25"/>
      <c r="C22" s="25"/>
      <c r="D22" s="25"/>
      <c r="E22" s="26"/>
    </row>
    <row r="23" spans="1:5" ht="72" customHeight="1">
      <c r="A23" s="36" t="s">
        <v>109</v>
      </c>
      <c r="B23" s="37"/>
      <c r="C23" s="37"/>
      <c r="D23" s="37"/>
      <c r="E23" s="38"/>
    </row>
    <row r="24" spans="1:5" ht="15.75" customHeight="1">
      <c r="A24" s="39"/>
      <c r="B24" s="40"/>
      <c r="C24" s="40"/>
      <c r="D24" s="40"/>
      <c r="E24" s="41"/>
    </row>
    <row r="25" spans="1:5" ht="15.75" customHeight="1">
      <c r="A25" s="39"/>
      <c r="B25" s="40"/>
      <c r="C25" s="40"/>
      <c r="D25" s="40"/>
      <c r="E25" s="41"/>
    </row>
    <row r="26" spans="1:5" ht="15.75" customHeight="1">
      <c r="A26" s="42"/>
      <c r="B26" s="43"/>
      <c r="C26" s="43"/>
      <c r="D26" s="43"/>
      <c r="E26" s="44"/>
    </row>
    <row r="27" spans="1:5" ht="15.75" customHeight="1"/>
    <row r="28" spans="1:5" ht="15.75" customHeight="1"/>
    <row r="29" spans="1:5" ht="15.75" customHeight="1"/>
    <row r="30" spans="1:5" ht="15.75" customHeight="1"/>
    <row r="31" spans="1:5" ht="15.75" customHeight="1"/>
    <row r="32" spans="1:5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22:E22"/>
    <mergeCell ref="A23:E26"/>
    <mergeCell ref="A1:E1"/>
    <mergeCell ref="A14:B14"/>
    <mergeCell ref="D14:E14"/>
    <mergeCell ref="A15:B20"/>
    <mergeCell ref="D15:E20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Sprint Backlog</vt:lpstr>
      <vt:lpstr>Control Diario</vt:lpstr>
      <vt:lpstr>Resumen Sprint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IMPUS CHILE</cp:lastModifiedBy>
  <dcterms:modified xsi:type="dcterms:W3CDTF">2026-09-23T19:02:39Z</dcterms:modified>
</cp:coreProperties>
</file>