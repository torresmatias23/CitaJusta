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a48a1781b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Plan" sheetId="1" r:id="Re050cdfba03f4baf"/>
    <x:sheet xmlns:r="http://schemas.openxmlformats.org/officeDocument/2006/relationships" name="Resumen Release" sheetId="2" r:id="R83d7a23aa2144998"/>
  </x:sheets>
</x:workbook>
</file>

<file path=xl/sharedStrings.xml><?xml version="1.0" encoding="utf-8"?>
<x:sst xmlns:x="http://schemas.openxmlformats.org/spreadsheetml/2006/main">
  <x:si>
    <x:t xml:space="preserve">CITAJUSTA RELEASE PLAN</x:t>
  </x:si>
  <x:si>
    <x:t xml:space="preserve">Release</x:t>
  </x:si>
  <x:si>
    <x:t xml:space="preserve">Sprint</x:t>
  </x:si>
  <x:si>
    <x:t xml:space="preserve">Objetivo</x:t>
  </x:si>
  <x:si>
    <x:t xml:space="preserve">Entregable principal</x:t>
  </x:si>
  <x:si>
    <x:t xml:space="preserve">Estado actual</x:t>
  </x:si>
  <x:si>
    <x:t xml:space="preserve">Evidencia verificable</x:t>
  </x:si>
  <x:si>
    <x:t xml:space="preserve">Criterio de salida</x:t>
  </x:si>
  <x:si>
    <x:t xml:space="preserve">Pendiente clave</x:t>
  </x:si>
  <x:si>
    <x:t xml:space="preserve">Dependencias</x:t>
  </x:si>
  <x:si>
    <x:t xml:space="preserve">Observaciones</x:t>
  </x:si>
  <x:si>
    <x:t xml:space="preserve">R0.1</x:t>
  </x:si>
  <x:si>
    <x:t xml:space="preserve">Sprint 1</x:t>
  </x:si>
  <x:si>
    <x:t xml:space="preserve">Análisis, alcance y arquitectura</x:t>
  </x:si>
  <x:si>
    <x:t xml:space="preserve">Documento Base, Alcance, Requisitos, Arquitectura, Product Backlog e historias iniciales</x:t>
  </x:si>
  <x:si>
    <x:t xml:space="preserve">Completo</x:t>
  </x:si>
  <x:si>
    <x:t xml:space="preserve">Documento Base; Alcance v1.0; Requisitos Funcionales; Arquitectura de Software/APIs; Product Backlog consolidado</x:t>
  </x:si>
  <x:si>
    <x:t xml:space="preserve">Alcance y backlog priorizado disponibles como base del desarrollo</x:t>
  </x:si>
  <x:si>
    <x:t xml:space="preserve">Mantener trazabilidad y actualizar cambios de alcance</x:t>
  </x:si>
  <x:si>
    <x:t xml:space="preserve">Retroalimentación docente</x:t>
  </x:si>
  <x:si>
    <x:t xml:space="preserve">Base documental suficiente para continuar el desarrollo incremental.</x:t>
  </x:si>
  <x:si>
    <x:t xml:space="preserve">R0.2</x:t>
  </x:si>
  <x:si>
    <x:t xml:space="preserve">Sprint 2</x:t>
  </x:si>
  <x:si>
    <x:t xml:space="preserve">Configuración técnica</x:t>
  </x:si>
  <x:si>
    <x:t xml:space="preserve">Monorepo, backend base, PostgreSQL, Prisma, repositorio y README</x:t>
  </x:si>
  <x:si>
    <x:t xml:space="preserve">Parcial</x:t>
  </x:si>
  <x:si>
    <x:t xml:space="preserve">Monorepo npm; NestJS; PostgreSQL; Prisma; migraciones; README; GitHub público; apps/web creada con React/Vite/TypeScript/Tailwind, build validado e integración real con la API completada.</x:t>
  </x:si>
  <x:si>
    <x:t xml:space="preserve">Entorno reproducible y aplicaciones base creadas</x:t>
  </x:si>
  <x:si>
    <x:t xml:space="preserve">Crear apps/desktop y completar Docker/Docker Compose.</x:t>
  </x:si>
  <x:si>
    <x:t xml:space="preserve">Node/npm; PostgreSQL; Rust/Tauri para escritorio</x:t>
  </x:si>
  <x:si>
    <x:t xml:space="preserve">La fundación e integración web ya están disponibles. La configuración técnica sigue Parcial porque escritorio y contenedorización aún están pendientes.</x:t>
  </x:si>
  <x:si>
    <x:t xml:space="preserve">R0.3</x:t>
  </x:si>
  <x:si>
    <x:t xml:space="preserve">Sprint 3</x:t>
  </x:si>
  <x:si>
    <x:t xml:space="preserve">Seguridad y usuarios</x:t>
  </x:si>
  <x:si>
    <x:t xml:space="preserve">Auth, sesiones, JWT, RBAC, contexto institucional y validación</x:t>
  </x:si>
  <x:si>
    <x:t xml:space="preserve">Avance alto</x:t>
  </x:si>
  <x:si>
    <x:t xml:space="preserve">Registro/login/refresh/logout; Argon2id; sesiones; AccessTokenGuard; RBAC; contexto institucional; /users/me; restauración de sesión y protección de rutas en apps/web. La regresión backend actual mantiene 114/114 pruebas aprobadas.</x:t>
  </x:si>
  <x:si>
    <x:t xml:space="preserve">Flujo de acceso y autorización base operativo y documentado</x:t>
  </x:si>
  <x:si>
    <x:t xml:space="preserve">Swagger/OpenAPI; rate limiting; controles de seguridad finales</x:t>
  </x:si>
  <x:si>
    <x:t xml:space="preserve">Config/env; PostgreSQL; roles/permisos</x:t>
  </x:si>
  <x:si>
    <x:t xml:space="preserve">La seguridad base está implementada y ya es consumida por la aplicación web. Quedan documentación OpenAPI, controles finales de endurecimiento y pruebas específicas de seguridad/rendimiento.</x:t>
  </x:si>
  <x:si>
    <x:t xml:space="preserve">R0.4</x:t>
  </x:si>
  <x:si>
    <x:t xml:space="preserve">Sprint 4</x:t>
  </x:si>
  <x:si>
    <x:t xml:space="preserve">Agenda base</x:t>
  </x:si>
  <x:si>
    <x:t xml:space="preserve">Instituciones, sedes, servicios, profesionales y disponibilidad read-only</x:t>
  </x:si>
  <x:si>
    <x:t xml:space="preserve">Catálogo institucional, servicios, profesionales y disponibilidad read-only; 69/69 pruebas unitarias al cierre de Agenda Base; PostgreSQL real operativo; 7/7 migraciones aplicadas; checkpoint E2E 1/1 aprobado.</x:t>
  </x:si>
  <x:si>
    <x:t xml:space="preserve">Agenda Base cerrada con 8/8 tareas Done, catálogo/disponibilidad operativos y checkpoint E2E real aprobado.</x:t>
  </x:si>
  <x:si>
    <x:t xml:space="preserve">Mantener evidencia histórica del Sprint 4; Burndown reconstruido con evidencia Git/PR ya disponible.</x:t>
  </x:si>
  <x:si>
    <x:t xml:space="preserve">PostgreSQL activo; Prisma validado; fixtures E2E</x:t>
  </x:si>
  <x:si>
    <x:t xml:space="preserve">Sprint 4 cerrado técnicamente con 8/8 tareas. Checkpoint E2E real 1/1 y Burndown documentado con evidencia verificable. La regresión global posterior alcanza 114/114 backend.</x:t>
  </x:si>
  <x:si>
    <x:t xml:space="preserve">R0.5</x:t>
  </x:si>
  <x:si>
    <x:t xml:space="preserve">Sprint 5</x:t>
  </x:si>
  <x:si>
    <x:t xml:space="preserve">Citas y lista de espera</x:t>
  </x:si>
  <x:si>
    <x:t xml:space="preserve">Reserva, consulta y cancelación de citas; integración Web/API; lista de espera</x:t>
  </x:si>
  <x:si>
    <x:t xml:space="preserve">HU-004/005/006; Auth; AgendaSlot; catálogos; PostgreSQL; apps/web; cliente HTTP centralizado; PR #43.</x:t>
  </x:si>
  <x:si>
    <x:t xml:space="preserve">R0.6</x:t>
  </x:si>
  <x:si>
    <x:t xml:space="preserve">Sprint 6</x:t>
  </x:si>
  <x:si>
    <x:t xml:space="preserve">Motor de reasignación</x:t>
  </x:si>
  <x:si>
    <x:t xml:space="preserve">Candidatos, ranking, ofertas, expiración, aceptación/rechazo y reasignación</x:t>
  </x:si>
  <x:si>
    <x:t xml:space="preserve">R0.7</x:t>
  </x:si>
  <x:si>
    <x:t xml:space="preserve">Sprint 7</x:t>
  </x:si>
  <x:si>
    <x:t xml:space="preserve">Reportes y aplicación institucional</x:t>
  </x:si>
  <x:si>
    <x:t xml:space="preserve">Dashboard, reportes, auditoría visible y aplicación Tauri funcional</x:t>
  </x:si>
  <x:si>
    <x:t xml:space="preserve">Aplicación de escritorio consume API y permite operación institucional principal</x:t>
  </x:si>
  <x:si>
    <x:t xml:space="preserve">APIs de negocio y auditoría suficientes</x:t>
  </x:si>
  <x:si>
    <x:t xml:space="preserve">R1.0</x:t>
  </x:si>
  <x:si>
    <x:t xml:space="preserve">Sprint 8</x:t>
  </x:si>
  <x:si>
    <x:t xml:space="preserve">Cierre MVP y preparación de defensa</x:t>
  </x:si>
  <x:si>
    <x:t xml:space="preserve">Web + escritorio + backend + BD + Docker + pruebas + documentación + presentación</x:t>
  </x:si>
  <x:si>
    <x:t xml:space="preserve">Pendiente</x:t>
  </x:si>
  <x:si>
    <x:t xml:space="preserve">MVP end-to-end demostrable y entregables académicos completos</x:t>
  </x:si>
  <x:si>
    <x:t xml:space="preserve">Cierre de Sprints anteriores</x:t>
  </x:si>
  <x:si>
    <x:t xml:space="preserve">Release académica final del proyecto.</x:t>
  </x:si>
  <x:si>
    <x:t xml:space="preserve">Criterios de interpretación del estado</x:t>
  </x:si>
  <x:si>
    <x:t xml:space="preserve">Entregable principal del Sprint disponible y verificable.</x:t>
  </x:si>
  <x:si>
    <x:t xml:space="preserve">Mayor parte del objetivo implementada; quedan cierres/evidencias.</x:t>
  </x:si>
  <x:si>
    <x:t xml:space="preserve">Parte relevante implementada, pero faltan componentes obligatorios.</x:t>
  </x:si>
  <x:si>
    <x:t xml:space="preserve">Trabajo aún no iniciado funcionalmente.</x:t>
  </x:si>
  <x:si>
    <x:t xml:space="preserve">Nota</x:t>
  </x:si>
  <x:si>
    <x:t xml:space="preserve">Los estados no equivalen a porcentaje académico oficial.</x:t>
  </x:si>
  <x:si>
    <x:t xml:space="preserve">En progreso</x:t>
  </x:si>
  <x:si>
    <x:t xml:space="preserve">Sprint activo con entregables verificables ya completados y trabajo planificado aún pendiente.</x:t>
  </x:si>
  <x:si>
    <x:t xml:space="preserve">Indicador</x:t>
  </x:si>
  <x:si>
    <x:t xml:space="preserve">Valor</x:t>
  </x:si>
  <x:si>
    <x:t xml:space="preserve">Estado</x:t>
  </x:si>
  <x:si>
    <x:t xml:space="preserve">Cantidad</x:t>
  </x:si>
  <x:si>
    <x:t xml:space="preserve">Ruta de releases</x:t>
  </x:si>
  <x:si>
    <x:t xml:space="preserve">Análisis y arquitectura</x:t>
  </x:si>
  <x:si>
    <x:t xml:space="preserve">→</x:t>
  </x:si>
  <x:si>
    <x:t xml:space="preserve">Base del proyecto</x:t>
  </x:si>
  <x:si>
    <x:t xml:space="preserve">Web creada; desktop/Docker pendientes</x:t>
  </x:si>
  <x:si>
    <x:t xml:space="preserve">Auth / RBAC operativos</x:t>
  </x:si>
  <x:si>
    <x:t xml:space="preserve">8/8 tareas + E2E 1/1 + Burndown</x:t>
  </x:si>
  <x:si>
    <x:t xml:space="preserve">Citas y espera</x:t>
  </x:si>
  <x:si>
    <x:t xml:space="preserve">Reasignación</x:t>
  </x:si>
  <x:si>
    <x:t xml:space="preserve">Reportes + escritorio</x:t>
  </x:si>
  <x:si>
    <x:t xml:space="preserve">Cierre MVP</x:t>
  </x:si>
  <x:si>
    <x:t xml:space="preserve">Último avance incorporado</x:t>
  </x:si>
</x:sst>
</file>

<file path=xl/styles.xml><?xml version="1.0" encoding="utf-8"?>
<x:styleSheet xmlns:x="http://schemas.openxmlformats.org/spreadsheetml/2006/main">
  <x:fonts count="8">
    <x:font>
      <x:sz val="11"/>
      <x:color rgb="FF000000"/>
      <x:name val="Carlito"/>
    </x:font>
    <x:font>
      <x:b/>
      <x:sz val="16"/>
      <x:color rgb="FFFFFFFF"/>
      <x:name val="Carlito"/>
    </x:font>
    <x:font>
      <x:sz val="11"/>
      <x:color theme="1"/>
      <x:name val="Carlito"/>
    </x:font>
    <x:font>
      <x:sz val="11"/>
      <x:name val="Carlito"/>
    </x:font>
    <x:font>
      <x:b/>
      <x:sz val="11"/>
      <x:color theme="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11"/>
      <x:color theme="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theme="9"/>
      </x:patternFill>
    </x:fill>
    <x:fill>
      <x:patternFill patternType="solid">
        <x:fgColor rgb="FFF7F9FB"/>
      </x:patternFill>
    </x:fill>
    <x:fill>
      <x:patternFill patternType="solid">
        <x:fgColor rgb="FFB6D7A8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92D050"/>
      </x:patternFill>
    </x:fill>
  </x:fills>
  <x:borders count="8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2" fillId="0" borderId="4" xfId="0" applyFont="1" applyBorder="1" applyAlignment="1">
      <x:alignment vertical="top" wrapText="1"/>
    </x:xf>
    <x:xf numFmtId="0" fontId="6" fillId="4" borderId="4" xfId="0" applyFont="1" applyFill="1" applyBorder="1" applyAlignment="1">
      <x:alignment wrapText="1"/>
    </x:xf>
    <x:xf numFmtId="0" fontId="7" fillId="0" borderId="4" xfId="0" applyFont="1" applyBorder="1" applyAlignment="1">
      <x:alignment wrapText="1"/>
    </x:xf>
    <x:xf numFmtId="0" fontId="0" fillId="0" borderId="4" xfId="0" applyBorder="1" applyAlignment="1">
      <x:alignment wrapText="1"/>
    </x:xf>
    <x:xf numFmtId="0" fontId="0" fillId="0" borderId="0" xfId="0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2" fillId="3" borderId="1" xfId="0" applyFont="1" applyFill="1" applyBorder="1" applyAlignment="1">
      <x:alignment wrapText="1"/>
    </x:xf>
    <x:xf numFmtId="0" fontId="3" fillId="0" borderId="2" xfId="0" applyFont="1" applyBorder="1" applyAlignment="1">
      <x:alignment wrapText="1"/>
    </x:xf>
    <x:xf numFmtId="0" fontId="3" fillId="0" borderId="3" xfId="0" applyFont="1" applyBorder="1" applyAlignment="1">
      <x:alignment wrapText="1"/>
    </x:xf>
    <x:xf numFmtId="0" fontId="6" fillId="4" borderId="1" xfId="0" applyFont="1" applyFill="1" applyBorder="1" applyAlignment="1">
      <x:alignment horizontal="center" vertical="center" wrapText="1"/>
    </x:xf>
    <x:xf numFmtId="0" fontId="3" fillId="0" borderId="2" xfId="0" applyFont="1" applyBorder="1"/>
    <x:xf numFmtId="0" fontId="3" fillId="0" borderId="3" xfId="0" applyFont="1" applyBorder="1"/>
    <x:xf numFmtId="0" fontId="1" fillId="2" borderId="0" xfId="0" applyFont="1" applyFill="1" applyAlignment="1">
      <x:alignment horizontal="center"/>
    </x:xf>
    <x:xf numFmtId="0" fontId="6" fillId="5" borderId="1" xfId="0" applyFont="1" applyFill="1" applyBorder="1" applyAlignment="1">
      <x:alignment horizontal="center" wrapText="1"/>
    </x:xf>
    <x:xf numFmtId="0" fontId="2" fillId="0" borderId="6" xfId="0" applyFont="1" applyBorder="1" applyAlignment="1">
      <x:alignment vertical="top" wrapText="1"/>
    </x:xf>
    <x:xf numFmtId="0" fontId="0" fillId="0" borderId="6" xfId="0" applyBorder="1" applyAlignment="1">
      <x:alignment wrapText="1"/>
    </x:xf>
    <x:xf numFmtId="0" fontId="4" fillId="7" borderId="5" xfId="0" applyFont="1" applyFill="1" applyBorder="1" applyAlignment="1">
      <x:alignment horizontal="center" vertical="center" wrapText="1"/>
    </x:xf>
    <x:xf numFmtId="0" fontId="4" fillId="7" borderId="5" xfId="0" applyFont="1" applyFill="1" applyBorder="1" applyAlignment="1">
      <x:alignment horizontal="center" vertical="center"/>
    </x:xf>
    <x:xf numFmtId="0" fontId="5" fillId="3" borderId="7" xfId="0" applyFont="1" applyFill="1" applyBorder="1" applyAlignment="1">
      <x:alignment wrapText="1"/>
    </x:xf>
    <x:xf numFmtId="0" fontId="0" fillId="0" borderId="5" xfId="0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/>
    </x:xf>
    <x:xf numFmtId="0" fontId="6" fillId="6" borderId="5" xfId="0" applyFont="1" applyFill="1" applyBorder="1" applyAlignment="1">
      <x:alignment wrapText="1"/>
    </x:xf>
    <x:xf numFmtId="0" fontId="0" fillId="0" borderId="5" xfId="0" applyBorder="1" applyAlignment="1">
      <x:alignment vertical="top" wrapText="1"/>
    </x:xf>
  </x:cellXfs>
  <x:cellStyles count="1">
    <x:cellStyle name="Normal" xfId="0"/>
  </x:cellStyles>
  <x:dxfs count="7"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bottom style="thin">
          <x:color indexed="64"/>
        </x:bottom>
      </x:border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14c78fa1a4684" /><Relationship Type="http://schemas.openxmlformats.org/officeDocument/2006/relationships/theme" Target="/xl/theme/theme1.xml" Id="R6eab5f44b3f6429f" /><Relationship Type="http://schemas.openxmlformats.org/officeDocument/2006/relationships/sharedStrings" Target="/xl/sharedStrings.xml" Id="R64b80e2dc40f4f09" /><Relationship Type="http://schemas.openxmlformats.org/officeDocument/2006/relationships/worksheet" Target="/xl/worksheets/sheet1.xml" Id="Re050cdfba03f4baf" /><Relationship Type="http://schemas.openxmlformats.org/officeDocument/2006/relationships/worksheet" Target="/xl/worksheets/sheet2.xml" Id="R83d7a23aa21449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1c910cb5c04e52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releases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'Resumen Release'!$D$4:$D$8</c:f>
              <c:strCache>
                <c:ptCount val="5"/>
                <c:pt idx="0">
                  <c:v>Completo</c:v>
                </c:pt>
                <c:pt idx="1">
                  <c:v>Avance alto</c:v>
                </c:pt>
                <c:pt idx="2">
                  <c:v>En progreso</c:v>
                </c:pt>
                <c:pt idx="3">
                  <c:v>Parcial</c:v>
                </c:pt>
                <c:pt idx="4">
                  <c:v>Pendiente</c:v>
                </c:pt>
              </c:strCache>
            </c:strRef>
          </c:cat>
          <c:val>
            <c:numRef>
              <c:f>'Resumen Release'!$E$4:$E$8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1c910cb5c04e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_1" displayName="Tabla_1" ref="A4:J12" headerRowBorderDxfId="1">
  <x:tableColumns count="10">
    <x:tableColumn id="1" name="Release"/>
    <x:tableColumn id="2" name="Sprint"/>
    <x:tableColumn id="3" name="Objetivo"/>
    <x:tableColumn id="4" name="Entregable principal"/>
    <x:tableColumn id="5" name="Estado actual"/>
    <x:tableColumn id="6" name="Evidencia verificable"/>
    <x:tableColumn id="7" name="Criterio de salida"/>
    <x:tableColumn id="8" name="Pendiente clave"/>
    <x:tableColumn id="9" name="Dependencias"/>
    <x:tableColumn id="10" name="Observaciones"/>
  </x:tableColumns>
  <x:tableStyleInfo name="Release Plan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a09f8707084c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ed7d67a3e34431f" /></Relationships>
</file>

<file path=xl/worksheets/sheet1.xml><?xml version="1.0" encoding="utf-8"?>
<x:worksheet xmlns:x="http://schemas.openxmlformats.org/spreadsheetml/2006/main">
  <x:sheetFormatPr baseColWidth="10" defaultColWidth="12.625" defaultRowHeight="14.25"/>
  <x:cols>
    <x:col min="1" max="2" width="12" customWidth="1"/>
    <x:col min="3" max="3" width="28" customWidth="1"/>
    <x:col min="4" max="4" width="37.625" customWidth="1"/>
    <x:col min="5" max="5" width="18.875" customWidth="1"/>
    <x:col min="6" max="6" width="38" customWidth="1"/>
    <x:col min="7" max="7" width="37.625" customWidth="1"/>
    <x:col min="8" max="8" width="40" customWidth="1"/>
    <x:col min="9" max="9" width="16.25" customWidth="1"/>
    <x:col min="10" max="10" width="16.625" customWidth="1"/>
  </x:cols>
  <x:sheetData>
    <x:row r="1" ht="27.75" customHeight="1">
      <x:c r="A1" s="6" t="s">
        <x:v>0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39.75" customHeight="1">
      <x:c r="A2" s="8" t="str">
        <x:v>Versión 1.5 · Fecha de corte: 20-09-2026 · Sprint 5 cerrado · backend HU-001 a HU-020 completado · HU-021 Web Done · HU-022 con cierre técnico completado.</x:v>
      </x:c>
      <x:c r="B2" s="9"/>
      <x:c r="C2" s="9"/>
      <x:c r="D2" s="9"/>
      <x:c r="E2" s="9"/>
      <x:c r="F2" s="9"/>
      <x:c r="G2" s="9"/>
      <x:c r="H2" s="9"/>
      <x:c r="I2" s="9"/>
      <x:c r="J2" s="10"/>
    </x:row>
    <x:row r="4" ht="36" customHeight="1">
      <x:c r="A4" s="18" t="s">
        <x:v>1</x:v>
      </x:c>
      <x:c r="B4" s="18" t="s">
        <x:v>2</x:v>
      </x:c>
      <x:c r="C4" s="18" t="s">
        <x:v>3</x:v>
      </x:c>
      <x:c r="D4" s="18" t="s">
        <x:v>4</x:v>
      </x:c>
      <x:c r="E4" s="18" t="s">
        <x:v>5</x:v>
      </x:c>
      <x:c r="F4" s="18" t="s">
        <x:v>6</x:v>
      </x:c>
      <x:c r="G4" s="18" t="s">
        <x:v>7</x:v>
      </x:c>
      <x:c r="H4" s="18" t="s">
        <x:v>8</x:v>
      </x:c>
      <x:c r="I4" s="19" t="s">
        <x:v>9</x:v>
      </x:c>
      <x:c r="J4" s="19" t="s">
        <x:v>10</x:v>
      </x:c>
    </x:row>
    <x:row r="5" ht="72" customHeight="1">
      <x:c r="A5" s="16" t="s">
        <x:v>11</x:v>
      </x:c>
      <x:c r="B5" s="16" t="s">
        <x:v>12</x:v>
      </x:c>
      <x:c r="C5" s="16" t="s">
        <x:v>13</x:v>
      </x:c>
      <x:c r="D5" s="16" t="s">
        <x:v>14</x:v>
      </x:c>
      <x:c r="E5" s="16" t="s">
        <x:v>15</x:v>
      </x:c>
      <x:c r="F5" s="16" t="s">
        <x:v>16</x:v>
      </x:c>
      <x:c r="G5" s="16" t="s">
        <x:v>17</x:v>
      </x:c>
      <x:c r="H5" s="16" t="s">
        <x:v>18</x:v>
      </x:c>
      <x:c r="I5" s="17" t="s">
        <x:v>19</x:v>
      </x:c>
      <x:c r="J5" s="17" t="s">
        <x:v>20</x:v>
      </x:c>
    </x:row>
    <x:row r="6" ht="72" customHeight="1">
      <x:c r="A6" s="1" t="s">
        <x:v>21</x:v>
      </x:c>
      <x:c r="B6" s="1" t="s">
        <x:v>22</x:v>
      </x:c>
      <x:c r="C6" s="1" t="s">
        <x:v>23</x:v>
      </x:c>
      <x:c r="D6" s="1" t="s">
        <x:v>24</x:v>
      </x:c>
      <x:c r="E6" s="1" t="s">
        <x:v>25</x:v>
      </x:c>
      <x:c r="F6" s="1" t="s">
        <x:v>26</x:v>
      </x:c>
      <x:c r="G6" s="1" t="s">
        <x:v>27</x:v>
      </x:c>
      <x:c r="H6" s="1" t="s">
        <x:v>28</x:v>
      </x:c>
      <x:c r="I6" s="4" t="s">
        <x:v>29</x:v>
      </x:c>
      <x:c r="J6" s="4" t="s">
        <x:v>30</x:v>
      </x:c>
    </x:row>
    <x:row r="7" ht="72" customHeight="1">
      <x:c r="A7" s="1" t="s">
        <x:v>31</x:v>
      </x:c>
      <x:c r="B7" s="1" t="s">
        <x:v>32</x:v>
      </x:c>
      <x:c r="C7" s="1" t="s">
        <x:v>33</x:v>
      </x:c>
      <x:c r="D7" s="1" t="s">
        <x:v>34</x:v>
      </x:c>
      <x:c r="E7" s="1" t="s">
        <x:v>35</x:v>
      </x:c>
      <x:c r="F7" s="1" t="s">
        <x:v>36</x:v>
      </x:c>
      <x:c r="G7" s="1" t="s">
        <x:v>37</x:v>
      </x:c>
      <x:c r="H7" s="1" t="s">
        <x:v>38</x:v>
      </x:c>
      <x:c r="I7" s="4" t="s">
        <x:v>39</x:v>
      </x:c>
      <x:c r="J7" s="4" t="s">
        <x:v>40</x:v>
      </x:c>
    </x:row>
    <x:row r="8" ht="72" customHeight="1">
      <x:c r="A8" s="1" t="s">
        <x:v>41</x:v>
      </x:c>
      <x:c r="B8" s="1" t="s">
        <x:v>42</x:v>
      </x:c>
      <x:c r="C8" s="1" t="s">
        <x:v>43</x:v>
      </x:c>
      <x:c r="D8" s="1" t="s">
        <x:v>44</x:v>
      </x:c>
      <x:c r="E8" s="1" t="s">
        <x:v>15</x:v>
      </x:c>
      <x:c r="F8" s="1" t="s">
        <x:v>45</x:v>
      </x:c>
      <x:c r="G8" s="1" t="s">
        <x:v>46</x:v>
      </x:c>
      <x:c r="H8" s="1" t="s">
        <x:v>47</x:v>
      </x:c>
      <x:c r="I8" s="4" t="s">
        <x:v>48</x:v>
      </x:c>
      <x:c r="J8" s="4" t="s">
        <x:v>49</x:v>
      </x:c>
    </x:row>
    <x:row r="9" ht="72" customHeight="1">
      <x:c r="A9" s="1" t="s">
        <x:v>50</x:v>
      </x:c>
      <x:c r="B9" s="1" t="s">
        <x:v>51</x:v>
      </x:c>
      <x:c r="C9" s="1" t="s">
        <x:v>52</x:v>
      </x:c>
      <x:c r="D9" s="1" t="s">
        <x:v>53</x:v>
      </x:c>
      <x:c r="E9" s="1" t="str">
        <x:v>Completo</x:v>
      </x:c>
      <x:c r="F9" s="1" t="str">
        <x:v>HU-004/005/006 completadas; HU-007/008 backend implementadas; HU-021 Web de lista de espera/preferencias completada mediante PR #89. Validación: Web 56/56, development/seed 11/11 y Waitlist E2E 24/24.</x:v>
      </x:c>
      <x:c r="G9" s="1" t="str">
        <x:v>Flujo núcleo de citas y lista de espera disponible y validado de punta a punta en Web + API + PostgreSQL.</x:v>
      </x:c>
      <x:c r="H9" s="1" t="str">
        <x:v>Mantener evidencia histórica del Sprint 5 y continuar integración Web del motor de reasignación.</x:v>
      </x:c>
      <x:c r="I9" s="4" t="s">
        <x:v>54</x:v>
      </x:c>
      <x:c r="J9" s="4" t="str">
        <x:v>Sprint 5 cerrado. HU-021 consolidó la experiencia Web de lista de espera y estabilizó el entorno local.</x:v>
      </x:c>
    </x:row>
    <x:row r="10" ht="72" customHeight="1">
      <x:c r="A10" s="1" t="s">
        <x:v>55</x:v>
      </x:c>
      <x:c r="B10" s="1" t="s">
        <x:v>56</x:v>
      </x:c>
      <x:c r="C10" s="1" t="s">
        <x:v>57</x:v>
      </x:c>
      <x:c r="D10" s="1" t="s">
        <x:v>58</x:v>
      </x:c>
      <x:c r="E10" s="1" t="str">
        <x:v>Completo</x:v>
      </x:c>
      <x:c r="F10" s="1" t="str">
        <x:v>Backend HU-009/010/011/016/018 implementado. HU-022 Web completada con GET /reassignments/offers/me, ruta /ofertas, expiresAt real, aceptación/rechazo y estados finales. Validación: Web 71/71, pruebas enfocadas 10/10, E2E reasignaciones 20/20 y prueba manual de expiración/ACCEPT/REJECT PASS.</x:v>
      </x:c>
      <x:c r="G10" s="1" t="str">
        <x:v>Motor de reasignación y flujo Web disponibles y validados de punta a punta, manteniendo backend como fuente de verdad.</x:v>
      </x:c>
      <x:c r="H10" s="1" t="str">
        <x:v>Integrar feat/web-reassignment-offers a main y actualizar la evidencia visual final del Kanban.</x:v>
      </x:c>
      <x:c r="I10" s="4" t="str">
        <x:v>HU-009/010/011/016/018 backend Done; HU-021 Done; apps/web y entorno local estabilizados.</x:v>
      </x:c>
      <x:c r="J10" s="4" t="str">
        <x:v>Sprint 6 cerrado técnicamente. HU-022 queda lista para commit/PR/merge; ACCEPT transfirió la cita existente y REJECT no generó cita para el destinatario.</x:v>
      </x:c>
    </x:row>
    <x:row r="11" ht="72" customHeight="1">
      <x:c r="A11" s="1" t="s">
        <x:v>59</x:v>
      </x:c>
      <x:c r="B11" s="1" t="s">
        <x:v>60</x:v>
      </x:c>
      <x:c r="C11" s="1" t="s">
        <x:v>61</x:v>
      </x:c>
      <x:c r="D11" s="1" t="s">
        <x:v>62</x:v>
      </x:c>
      <x:c r="E11" s="1" t="str">
        <x:v>Parcial</x:v>
      </x:c>
      <x:c r="F11" s="1" t="str">
        <x:v>Backend de reportes (HU-019) y auditoría (HU-020) implementado y mergeado; interfaces institucionales y aplicación Tauri aún pendientes.</x:v>
      </x:c>
      <x:c r="G11" s="1" t="s">
        <x:v>63</x:v>
      </x:c>
      <x:c r="H11" s="1" t="str">
        <x:v>Completar interfaces administrativas, agenda/asistencia, reportes/auditoría Web y luego Tauri.</x:v>
      </x:c>
      <x:c r="I11" s="4" t="s">
        <x:v>64</x:v>
      </x:c>
      <x:c r="J11" s="4" t="str">
        <x:v>Las capacidades backend de gestión ya existen; falta consolidar su experiencia institucional en Web/desktop.</x:v>
      </x:c>
    </x:row>
    <x:row r="12" ht="72" customHeight="1">
      <x:c r="A12" s="1" t="s">
        <x:v>65</x:v>
      </x:c>
      <x:c r="B12" s="1" t="s">
        <x:v>66</x:v>
      </x:c>
      <x:c r="C12" s="1" t="s">
        <x:v>67</x:v>
      </x:c>
      <x:c r="D12" s="1" t="s">
        <x:v>68</x:v>
      </x:c>
      <x:c r="E12" s="1" t="s">
        <x:v>69</x:v>
      </x:c>
      <x:c r="F12" s="1" t="str">
        <x:v>GitHub público; backend HU-001 a HU-020 implementado; HU-021 Web Done; HU-022 Web completada y validada técnicamente; entorno local reproducible con seed:dev/check:dev y tooling seed:reassignment-demo.</x:v>
      </x:c>
      <x:c r="G12" s="1" t="s">
        <x:v>70</x:v>
      </x:c>
      <x:c r="H12" s="1" t="str">
        <x:v>Interfaces institucionales; Tauri; Docker; UML/ER final; pruebas de seguridad/rendimiento; documentación académica y defensa.</x:v>
      </x:c>
      <x:c r="I12" s="4" t="s">
        <x:v>71</x:v>
      </x:c>
      <x:c r="J12" s="4" t="s">
        <x:v>72</x:v>
      </x:c>
    </x:row>
    <x:row r="15">
      <x:c r="A15" s="11" t="s">
        <x:v>73</x:v>
      </x:c>
      <x:c r="B15" s="12"/>
      <x:c r="C15" s="12"/>
      <x:c r="D15" s="12"/>
      <x:c r="E15" s="12"/>
      <x:c r="F15" s="12"/>
      <x:c r="G15" s="12"/>
      <x:c r="H15" s="12"/>
      <x:c r="I15" s="12"/>
      <x:c r="J15" s="13"/>
    </x:row>
    <x:row r="16" ht="71.25">
      <x:c r="A16" s="20" t="s">
        <x:v>15</x:v>
      </x:c>
      <x:c r="B16" s="20" t="s">
        <x:v>74</x:v>
      </x:c>
      <x:c r="C16" s="20" t="s">
        <x:v>35</x:v>
      </x:c>
      <x:c r="D16" s="20" t="s">
        <x:v>75</x:v>
      </x:c>
      <x:c r="E16" s="20" t="s">
        <x:v>25</x:v>
      </x:c>
      <x:c r="F16" s="20" t="s">
        <x:v>76</x:v>
      </x:c>
      <x:c r="G16" s="20" t="s">
        <x:v>69</x:v>
      </x:c>
      <x:c r="H16" s="20" t="s">
        <x:v>77</x:v>
      </x:c>
      <x:c r="I16" s="20" t="s">
        <x:v>78</x:v>
      </x:c>
      <x:c r="J16" s="20" t="s">
        <x:v>79</x:v>
      </x:c>
    </x:row>
    <x:row r="17" ht="142.5">
      <x:c r="A17" s="21" t="s">
        <x:v>80</x:v>
      </x:c>
      <x:c r="B17" s="21" t="s">
        <x:v>81</x:v>
      </x:c>
      <x:c r="C17" s="22"/>
      <x:c r="D17" s="22"/>
      <x:c r="E17" s="22"/>
      <x:c r="F17" s="22"/>
      <x:c r="G17" s="22"/>
      <x:c r="H17" s="22"/>
      <x:c r="I17" s="22"/>
      <x:c r="J17" s="22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15:J15"/>
  </x:mergeCells>
  <x:conditionalFormatting sqref="E5:E12">
    <x:cfRule type="expression" dxfId="6" priority="1">
      <x:formula>E5="Completo"</x:formula>
    </x:cfRule>
    <x:cfRule type="expression" dxfId="5" priority="2">
      <x:formula>E5="Avance alto"</x:formula>
    </x:cfRule>
    <x:cfRule type="expression" dxfId="4" priority="3">
      <x:formula>E5="En progreso"</x:formula>
    </x:cfRule>
    <x:cfRule type="expression" dxfId="3" priority="4">
      <x:formula>E5="Parcial"</x:formula>
    </x:cfRule>
    <x:cfRule type="expression" dxfId="2" priority="5">
      <x:formula>E5="Pendiente"</x:formula>
    </x:cfRule>
  </x:conditionalFormatting>
  <x:dataValidations count="1">
    <x:dataValidation type="list" allowBlank="1" sqref="E5:E12">
      <x:formula1>"Pendiente,Parcial,En progreso,Avance alto,Completo"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a09f8707084c39"/>
  </x:tableParts>
</x:worksheet>
</file>

<file path=xl/worksheets/sheet2.xml><?xml version="1.0" encoding="utf-8"?>
<x:worksheet xmlns:x="http://schemas.openxmlformats.org/spreadsheetml/2006/main">
  <x:sheetFormatPr baseColWidth="10" defaultColWidth="12.625" defaultRowHeight="14.25"/>
  <x:cols>
    <x:col min="1" max="1" width="18" customWidth="1"/>
    <x:col min="2" max="2" width="30" customWidth="1"/>
    <x:col min="3" max="3" width="14" customWidth="1"/>
    <x:col min="4" max="4" width="18" customWidth="1"/>
    <x:col min="5" max="5" width="12" customWidth="1"/>
    <x:col min="6" max="6" width="38" customWidth="1"/>
  </x:cols>
  <x:sheetData>
    <x:row r="1" ht="20.25">
      <x:c r="A1" s="14" t="str">
        <x:v>CITAJUSTA — RESUMEN DEL RELEASE PLAN — ACTUALIZADO 20-09-2026</x:v>
      </x:c>
      <x:c r="B1" s="7"/>
      <x:c r="C1" s="7"/>
      <x:c r="D1" s="7"/>
      <x:c r="E1" s="7"/>
      <x:c r="F1" s="7"/>
    </x:row>
    <x:row r="3" ht="15">
      <x:c r="A3" s="2" t="s">
        <x:v>82</x:v>
      </x:c>
      <x:c r="B3" s="2" t="s">
        <x:v>83</x:v>
      </x:c>
      <x:c r="C3" s="5"/>
      <x:c r="D3" s="2" t="s">
        <x:v>84</x:v>
      </x:c>
      <x:c r="E3" s="2" t="s">
        <x:v>85</x:v>
      </x:c>
      <x:c r="F3" s="5"/>
    </x:row>
    <x:row r="4" ht="28.5">
      <x:c r="A4" s="3" t="str">
        <x:v>Releases planificados</x:v>
      </x:c>
      <x:c r="B4" s="3" t="n">
        <x:v>8</x:v>
      </x:c>
      <x:c r="C4" s="5"/>
      <x:c r="D4" s="3" t="str">
        <x:v>Completo</x:v>
      </x:c>
      <x:c r="E4" s="3" t="n">
        <x:f t="shared" ref="E4:E8" si="0">B5</x:f>
        <x:v>4</x:v>
      </x:c>
      <x:c r="F4" s="5"/>
    </x:row>
    <x:row r="5">
      <x:c r="A5" s="3" t="str">
        <x:v>Completos</x:v>
      </x:c>
      <x:c r="B5" s="3" t="n">
        <x:v>4</x:v>
      </x:c>
      <x:c r="C5" s="5"/>
      <x:c r="D5" s="3" t="str">
        <x:v>Avance alto</x:v>
      </x:c>
      <x:c r="E5" s="3" t="n">
        <x:f t="shared" si="0"/>
        <x:v>1</x:v>
      </x:c>
      <x:c r="F5" s="5"/>
    </x:row>
    <x:row r="6">
      <x:c r="A6" s="3" t="str">
        <x:v>Avance alto</x:v>
      </x:c>
      <x:c r="B6" s="3" t="n">
        <x:v>1</x:v>
      </x:c>
      <x:c r="C6" s="5"/>
      <x:c r="D6" s="3" t="str">
        <x:v>En progreso</x:v>
      </x:c>
      <x:c r="E6" s="3" t="n">
        <x:f t="shared" si="0"/>
        <x:v>0</x:v>
      </x:c>
      <x:c r="F6" s="5"/>
    </x:row>
    <x:row r="7">
      <x:c r="A7" s="3" t="str">
        <x:v>En progreso</x:v>
      </x:c>
      <x:c r="B7" s="3" t="n">
        <x:v>0</x:v>
      </x:c>
      <x:c r="C7" s="5"/>
      <x:c r="D7" s="3" t="str">
        <x:v>Parcial</x:v>
      </x:c>
      <x:c r="E7" s="3" t="n">
        <x:f t="shared" si="0"/>
        <x:v>2</x:v>
      </x:c>
      <x:c r="F7" s="5"/>
    </x:row>
    <x:row r="8">
      <x:c r="A8" s="3" t="str">
        <x:v>Parciales</x:v>
      </x:c>
      <x:c r="B8" s="3" t="n">
        <x:v>2</x:v>
      </x:c>
      <x:c r="C8" s="5"/>
      <x:c r="D8" s="4" t="str">
        <x:v>Pendiente</x:v>
      </x:c>
      <x:c r="E8" s="4" t="n">
        <x:f t="shared" si="0"/>
        <x:v>1</x:v>
      </x:c>
      <x:c r="F8" s="5"/>
    </x:row>
    <x:row r="9">
      <x:c r="A9" s="3" t="str">
        <x:v>Pendientes</x:v>
      </x:c>
      <x:c r="B9" s="3" t="n">
        <x:v>1</x:v>
      </x:c>
      <x:c r="C9" s="5"/>
      <x:c r="D9" s="5"/>
      <x:c r="E9" s="5"/>
      <x:c r="F9" s="5"/>
    </x:row>
    <x:row r="10">
      <x:c r="A10" s="5" t="str">
        <x:v>Fecha de corte</x:v>
      </x:c>
      <x:c r="B10" s="5" t="str">
        <x:v>20-09-2026</x:v>
      </x:c>
      <x:c r="C10" s="5"/>
      <x:c r="D10" s="5"/>
      <x:c r="E10" s="5"/>
      <x:c r="F10" s="5"/>
    </x:row>
    <x:row r="11">
      <x:c r="A11" s="5"/>
      <x:c r="B11" s="5"/>
      <x:c r="C11" s="5"/>
      <x:c r="D11" s="5"/>
      <x:c r="E11" s="5"/>
      <x:c r="F11" s="5"/>
    </x:row>
    <x:row r="12" ht="15">
      <x:c r="A12" s="15" t="s">
        <x:v>86</x:v>
      </x:c>
      <x:c r="B12" s="9"/>
      <x:c r="C12" s="9"/>
      <x:c r="D12" s="9"/>
      <x:c r="E12" s="9"/>
      <x:c r="F12" s="10"/>
    </x:row>
    <x:row r="13">
      <x:c r="A13" s="4" t="s">
        <x:v>11</x:v>
      </x:c>
      <x:c r="B13" s="4" t="s">
        <x:v>87</x:v>
      </x:c>
      <x:c r="C13" s="4" t="s">
        <x:v>12</x:v>
      </x:c>
      <x:c r="D13" s="4" t="s">
        <x:v>15</x:v>
      </x:c>
      <x:c r="E13" s="4" t="s">
        <x:v>88</x:v>
      </x:c>
      <x:c r="F13" s="4" t="s">
        <x:v>89</x:v>
      </x:c>
    </x:row>
    <x:row r="14">
      <x:c r="A14" s="4" t="s">
        <x:v>21</x:v>
      </x:c>
      <x:c r="B14" s="4" t="s">
        <x:v>23</x:v>
      </x:c>
      <x:c r="C14" s="4" t="s">
        <x:v>22</x:v>
      </x:c>
      <x:c r="D14" s="4" t="s">
        <x:v>25</x:v>
      </x:c>
      <x:c r="E14" s="4" t="s">
        <x:v>88</x:v>
      </x:c>
      <x:c r="F14" s="4" t="s">
        <x:v>90</x:v>
      </x:c>
    </x:row>
    <x:row r="15">
      <x:c r="A15" s="4" t="s">
        <x:v>31</x:v>
      </x:c>
      <x:c r="B15" s="4" t="s">
        <x:v>33</x:v>
      </x:c>
      <x:c r="C15" s="4" t="s">
        <x:v>32</x:v>
      </x:c>
      <x:c r="D15" s="4" t="s">
        <x:v>35</x:v>
      </x:c>
      <x:c r="E15" s="4" t="s">
        <x:v>88</x:v>
      </x:c>
      <x:c r="F15" s="4" t="s">
        <x:v>91</x:v>
      </x:c>
    </x:row>
    <x:row r="16">
      <x:c r="A16" s="4" t="s">
        <x:v>41</x:v>
      </x:c>
      <x:c r="B16" s="4" t="s">
        <x:v>43</x:v>
      </x:c>
      <x:c r="C16" s="4" t="s">
        <x:v>42</x:v>
      </x:c>
      <x:c r="D16" s="4" t="s">
        <x:v>15</x:v>
      </x:c>
      <x:c r="E16" s="4" t="s">
        <x:v>88</x:v>
      </x:c>
      <x:c r="F16" s="4" t="s">
        <x:v>92</x:v>
      </x:c>
    </x:row>
    <x:row r="17" ht="28.5">
      <x:c r="A17" s="4" t="s">
        <x:v>50</x:v>
      </x:c>
      <x:c r="B17" s="4" t="s">
        <x:v>93</x:v>
      </x:c>
      <x:c r="C17" s="4" t="s">
        <x:v>51</x:v>
      </x:c>
      <x:c r="D17" s="4" t="str">
        <x:v>Completo</x:v>
      </x:c>
      <x:c r="E17" s="4" t="str">
        <x:v>→</x:v>
      </x:c>
      <x:c r="F17" s="4" t="str">
        <x:v>HU-004–008 + HU-021 Web Done</x:v>
      </x:c>
    </x:row>
    <x:row r="18">
      <x:c r="A18" s="4" t="s">
        <x:v>55</x:v>
      </x:c>
      <x:c r="B18" s="4" t="s">
        <x:v>94</x:v>
      </x:c>
      <x:c r="C18" s="4" t="s">
        <x:v>56</x:v>
      </x:c>
      <x:c r="D18" s="4" t="str">
        <x:v>Completo</x:v>
      </x:c>
      <x:c r="E18" s="4" t="str">
        <x:v>→</x:v>
      </x:c>
      <x:c r="F18" s="4" t="str">
        <x:v>Backend + HU-022 Web completados y validados</x:v>
      </x:c>
    </x:row>
    <x:row r="19">
      <x:c r="A19" s="4" t="s">
        <x:v>59</x:v>
      </x:c>
      <x:c r="B19" s="4" t="s">
        <x:v>95</x:v>
      </x:c>
      <x:c r="C19" s="4" t="s">
        <x:v>60</x:v>
      </x:c>
      <x:c r="D19" s="4" t="str">
        <x:v>Parcial</x:v>
      </x:c>
      <x:c r="E19" s="4" t="str">
        <x:v>→</x:v>
      </x:c>
      <x:c r="F19" s="4" t="str">
        <x:v>HU-019/HU-020 backend Done · UI/Tauri pendiente</x:v>
      </x:c>
    </x:row>
    <x:row r="20" ht="42.75">
      <x:c r="A20" s="4" t="s">
        <x:v>65</x:v>
      </x:c>
      <x:c r="B20" s="4" t="s">
        <x:v>96</x:v>
      </x:c>
      <x:c r="C20" s="4" t="s">
        <x:v>66</x:v>
      </x:c>
      <x:c r="D20" s="4" t="str">
        <x:v>Pendiente</x:v>
      </x:c>
      <x:c r="E20" s="4" t="str">
        <x:v>→</x:v>
      </x:c>
      <x:c r="F20" s="4" t="str">
        <x:v>Cierre final y entregables restantes</x:v>
      </x:c>
    </x:row>
    <x:row r="21" ht="15.75" customHeight="1">
      <x:c r="A21" s="5"/>
      <x:c r="B21" s="5"/>
      <x:c r="C21" s="5"/>
      <x:c r="D21" s="5"/>
      <x:c r="E21" s="5"/>
      <x:c r="F21" s="5"/>
    </x:row>
    <x:row r="22" ht="15.75" customHeight="1">
      <x:c r="A22" s="23" t="s">
        <x:v>97</x:v>
      </x:c>
      <x:c r="B22" s="23"/>
      <x:c r="C22" s="23"/>
      <x:c r="D22" s="23"/>
      <x:c r="E22" s="23"/>
      <x:c r="F22" s="23"/>
    </x:row>
    <x:row r="23" ht="72" customHeight="1">
      <x:c r="A23" s="24" t="str">
        <x:v>Backend HU-001 a HU-020 completado. HU-021 Web de lista de espera/preferencias fue mergeada mediante PR #89. HU-022 Web de ofertas/reasignación alcanzó cierre técnico con 71/71 pruebas Web, 10/10 pruebas enfocadas, 20/20 E2E reales y validación manual de expiración, ACCEPT y REJECT. Próximo foco: integrar la rama a main y continuar interfaces institucionales.</x:v>
      </x:c>
      <x:c r="B23" s="24"/>
      <x:c r="C23" s="24"/>
      <x:c r="D23" s="24"/>
      <x:c r="E23" s="24"/>
      <x:c r="F23" s="24"/>
    </x:row>
    <x:row r="24" ht="15.75" customHeight="1">
      <x:c r="A24" s="24"/>
      <x:c r="B24" s="24"/>
      <x:c r="C24" s="24"/>
      <x:c r="D24" s="24"/>
      <x:c r="E24" s="24"/>
      <x:c r="F24" s="24"/>
    </x:row>
    <x:row r="25" ht="15.75" customHeight="1">
      <x:c r="A25" s="24"/>
      <x:c r="B25" s="24"/>
      <x:c r="C25" s="24"/>
      <x:c r="D25" s="24"/>
      <x:c r="E25" s="24"/>
      <x:c r="F25" s="24"/>
    </x:row>
    <x:row r="26" ht="15.75" customHeight="1">
      <x:c r="A26" s="24"/>
      <x:c r="B26" s="24"/>
      <x:c r="C26" s="24"/>
      <x:c r="D26" s="24"/>
      <x:c r="E26" s="24"/>
      <x:c r="F26" s="24"/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12:F12"/>
    <x:mergeCell ref="A22:F22"/>
    <x:mergeCell ref="A23:F26"/>
  </x:mergeCells>
  <x:pageMargins left="0.7" right="0.7" top="0.75" bottom="0.75" header="0.3" footer="0.3"/>
  <x:drawing xmlns:r="http://schemas.openxmlformats.org/officeDocument/2006/relationships" r:id="Reed7d67a3e34431f"/>
</x:worksheet>
</file>