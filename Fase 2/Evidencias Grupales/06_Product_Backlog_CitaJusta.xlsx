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\Desktop\DEVELOPMENT\CITAJUSTA\CitaJusta\Fase 2\Evidencias Grupales\"/>
    </mc:Choice>
  </mc:AlternateContent>
  <xr:revisionPtr revIDLastSave="0" documentId="8_{4B220976-45EC-49ED-AFFC-440C42DB2A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 Backlog" sheetId="1" r:id="rId1"/>
    <sheet name="Resumen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E14" i="2"/>
  <c r="F13" i="2"/>
  <c r="E13" i="2"/>
  <c r="F12" i="2"/>
  <c r="E12" i="2"/>
  <c r="B12" i="2"/>
  <c r="F11" i="2"/>
  <c r="E11" i="2"/>
  <c r="B11" i="2"/>
  <c r="F10" i="2"/>
  <c r="F15" i="2" s="1"/>
  <c r="E10" i="2"/>
  <c r="E15" i="2" s="1"/>
  <c r="B9" i="2"/>
  <c r="B8" i="2"/>
  <c r="E6" i="2" s="1"/>
  <c r="B7" i="2"/>
  <c r="E5" i="2" s="1"/>
  <c r="B6" i="2"/>
  <c r="B5" i="2"/>
  <c r="B10" i="2" s="1"/>
  <c r="E4" i="2"/>
  <c r="B4" i="2"/>
</calcChain>
</file>

<file path=xl/sharedStrings.xml><?xml version="1.0" encoding="utf-8"?>
<sst xmlns="http://schemas.openxmlformats.org/spreadsheetml/2006/main" count="298" uniqueCount="190">
  <si>
    <t>CITAJUSTA  PRODUCT BACKLOG PRIORIZADO</t>
  </si>
  <si>
    <t>ID</t>
  </si>
  <si>
    <t>Épica</t>
  </si>
  <si>
    <t>Historia de Usuario</t>
  </si>
  <si>
    <t>Alias</t>
  </si>
  <si>
    <t>Estado</t>
  </si>
  <si>
    <t>Story Points</t>
  </si>
  <si>
    <t>Sprint</t>
  </si>
  <si>
    <t>Prioridad</t>
  </si>
  <si>
    <t>RF</t>
  </si>
  <si>
    <t>Alcance</t>
  </si>
  <si>
    <t>Criterios de aceptación (resumen)</t>
  </si>
  <si>
    <t>Evidencia / rama</t>
  </si>
  <si>
    <t>Issue GitHub</t>
  </si>
  <si>
    <t>Comentarios</t>
  </si>
  <si>
    <t>HU-001</t>
  </si>
  <si>
    <t>Cuenta y acceso</t>
  </si>
  <si>
    <t>Como usuario final, quiero crear una cuenta, para utilizar CitaJusta y administrar mis citas.</t>
  </si>
  <si>
    <t>Registro de usuario</t>
  </si>
  <si>
    <t>Done</t>
  </si>
  <si>
    <t>Sprint 3</t>
  </si>
  <si>
    <t>Alta</t>
  </si>
  <si>
    <t>RF-001</t>
  </si>
  <si>
    <t>MVP</t>
  </si>
  <si>
    <t>El sistema valida campos obligatorios y formatos. • No permite registrar un correo ya utilizado. • La contraseña cumple la política definida y nunca se almacena en texto plano.</t>
  </si>
  <si>
    <t>feat/auth-foundation</t>
  </si>
  <si>
    <t>Pendiente de vincular</t>
  </si>
  <si>
    <t>Registro implementado y probado en Auth.</t>
  </si>
  <si>
    <t>HU-002</t>
  </si>
  <si>
    <t>Como usuario, quiero iniciar sesión de forma segura, para acceder únicamente a las funciones que me corresponden.</t>
  </si>
  <si>
    <t>Inicio de sesión</t>
  </si>
  <si>
    <t>Crítica</t>
  </si>
  <si>
    <t>RF-002</t>
  </si>
  <si>
    <t>Credenciales válidas permiten acceder. • Credenciales inválidas no revelan si el correo existe. • El backend valida autenticación y rol para recursos protegidos.</t>
  </si>
  <si>
    <t>feat/auth-foundation / feat/rbac-institution-context</t>
  </si>
  <si>
    <t>Login, refresh rotativo y logout implementados y probados.</t>
  </si>
  <si>
    <t>HU-003</t>
  </si>
  <si>
    <t>Citas</t>
  </si>
  <si>
    <t>Como usuario, quiero buscar citas por servicio, sede y fecha o preferencia, para encontrar una atención compatible con mis necesidades.</t>
  </si>
  <si>
    <t>Buscar citas</t>
  </si>
  <si>
    <t>Sprint 4</t>
  </si>
  <si>
    <t>RF-011 / RF-012</t>
  </si>
  <si>
    <t>La búsqueda exige al menos un servicio. • Los resultados respetan filtros válidos de sede y fecha/preferencia. • No se muestran cupos bloqueados, ocupados o fuera de disponibilidad.</t>
  </si>
  <si>
    <t>HU-004</t>
  </si>
  <si>
    <t>Como usuario, quiero reservar un cupo disponible, para asegurar una atención en el horario seleccionado.</t>
  </si>
  <si>
    <t>Reservar una cita</t>
  </si>
  <si>
    <t>Sprint 5</t>
  </si>
  <si>
    <t>RF-013</t>
  </si>
  <si>
    <t>El backend revalida el cupo dentro de una transacción Serializable. • Una reserva exitosa crea una sola cita activa con estado AGENDADA y origen WEB interno. • La actualización condicional AVAILABLE→RESERVED usa lockVersion. • UNIQUE(citas.cupo_id) evita doble asignación. • Concurrencia real verificada: un 201, un 409 y una sola cita.</t>
  </si>
  <si>
    <t>feat/appointments-booking-foundation · commit 7a6a80e · merge a main 9b3e5a7</t>
  </si>
  <si>
    <t>PR HU-004 fusionado</t>
  </si>
  <si>
    <t>Reserva transaccional implementada y validada. POST /api/v1/appointments; estado inicial AGENDADA; origen WEB interno; transacción Serializable; AVAILABLE→RESERVED con lockVersion; UNIQUE(citas.cupo_id) como segunda defensa; historial inicial. Validación final: 88/88 unitarios, E2E checkpoint 1/1 y E2E appointments 8/8.</t>
  </si>
  <si>
    <t>HU-005</t>
  </si>
  <si>
    <t>Como usuario, quiero visualizar mis citas y su estado, para saber cuándo debo asistir y qué acciones tengo disponibles.</t>
  </si>
  <si>
    <t>Consultar mis citas</t>
  </si>
  <si>
    <t>RF-014</t>
  </si>
  <si>
    <t>El usuario sólo ve sus propias citas. • Se muestran fecha, hora, servicio, sede, profesional y estado aplicable. • Las acciones disponibles dependen del estado y permisos.</t>
  </si>
  <si>
    <t>HU-006</t>
  </si>
  <si>
    <t>Como usuario, quiero cancelar una cita que no podré utilizar, para liberar el cupo y mantener mi agenda actualizada.</t>
  </si>
  <si>
    <t>Cancelar una cita</t>
  </si>
  <si>
    <t>RF-015</t>
  </si>
  <si>
    <t>Sólo el titular o un rol autorizado puede cancelar. • La cancelación cambia el estado de la cita y queda auditada. • Si el cupo es reutilizable, queda disponible para el proceso de reasignación.</t>
  </si>
  <si>
    <t>HU-007</t>
  </si>
  <si>
    <t>Lista de espera</t>
  </si>
  <si>
    <t>Como usuario, quiero ingresar a una lista de espera cuando no haya disponibilidad adecuada, para tener la posibilidad de recibir un cupo que se libere.</t>
  </si>
  <si>
    <t>Ingresar a lista de espera</t>
  </si>
  <si>
    <t>Pendiente</t>
  </si>
  <si>
    <t>RF-018 / RF-019</t>
  </si>
  <si>
    <t>Sólo se permite una espera activa equivalente cuando así lo defina la regla de negocio. • Se registran servicio, sede/preferencias y fecha de ingreso. • El usuario puede consultar el estado de la espera.</t>
  </si>
  <si>
    <t>Pendiente: implementar alta y consulta de lista de espera.</t>
  </si>
  <si>
    <t>HU-008</t>
  </si>
  <si>
    <t>Como usuario, quiero indicar y modificar mis días, horarios y sede preferidos, para recibir solamente ofertas que pueda utilizar.</t>
  </si>
  <si>
    <t>Gestionar preferencias de espera</t>
  </si>
  <si>
    <t>RF-019 / RF-021</t>
  </si>
  <si>
    <t>Las preferencias deben usar valores válidos. • Los cambios aplican a futuras evaluaciones de compatibilidad. • El usuario puede retirarse de una espera activa y el cambio queda persistido.</t>
  </si>
  <si>
    <t>Pendiente: implementar modificación/retiro de preferencias de espera.</t>
  </si>
  <si>
    <t>HU-009</t>
  </si>
  <si>
    <t>Ofertas</t>
  </si>
  <si>
    <t>Como usuario en lista de espera, quiero recibir una oferta cuando se libere un cupo compatible, para decidir si deseo tomarlo.</t>
  </si>
  <si>
    <t>Recibir oferta de cupo liberado</t>
  </si>
  <si>
    <t>Sprint 6</t>
  </si>
  <si>
    <t>RF-022 a RF-027 / RF-034</t>
  </si>
  <si>
    <t>La oferta sólo se genera para un candidato compatible. • La oferta posee fecha/hora de expiración persistida. • El usuario es notificado dentro de CitaJusta.</t>
  </si>
  <si>
    <t>Pendiente: implementar generación y notificación de ofertas.</t>
  </si>
  <si>
    <t>HU-010</t>
  </si>
  <si>
    <t>Como usuario, quiero aceptar una oferta vigente, para obtener el cupo liberado de manera segura.</t>
  </si>
  <si>
    <t>Aceptar una oferta</t>
  </si>
  <si>
    <t>RF-027</t>
  </si>
  <si>
    <t>Sólo el destinatario puede aceptar la oferta. • La oferta debe estar vigente y el cupo disponible. • La aceptación se ejecuta transaccionalmente.</t>
  </si>
  <si>
    <t>Pendiente: implementar aceptación transaccional de oferta vigente.</t>
  </si>
  <si>
    <t>HU-011</t>
  </si>
  <si>
    <t>Como usuario, quiero rechazar una oferta que no puedo utilizar, para que el sistema pueda continuar con otro candidato.</t>
  </si>
  <si>
    <t>Rechazar una oferta</t>
  </si>
  <si>
    <t>RF-028</t>
  </si>
  <si>
    <t>Sólo el destinatario puede rechazar. • La oferta cambia a estado rechazado. • El cupo puede continuar con el siguiente candidato válido.</t>
  </si>
  <si>
    <t>Pendiente: implementar rechazo y continuidad del flujo.</t>
  </si>
  <si>
    <t>HU-012</t>
  </si>
  <si>
    <t>Administración</t>
  </si>
  <si>
    <t>Como administrador institucional, quiero administrar sedes y servicios, para configurar correctamente la oferta de atención de mi institución.</t>
  </si>
  <si>
    <t>Gestionar servicios y sedes</t>
  </si>
  <si>
    <t>En progreso</t>
  </si>
  <si>
    <t>RF-005 a RF-007</t>
  </si>
  <si>
    <t>Sólo roles autorizados pueden crear o modificar datos institucionales. • Una sede pertenece a una institución válida. • Un servicio puede activarse o desactivarse sin borrar su historial.</t>
  </si>
  <si>
    <t>feat/catalog-read-foundation</t>
  </si>
  <si>
    <t>HU-013</t>
  </si>
  <si>
    <t>Como administrador institucional, quiero registrar profesionales y asociarlos a servicios y sedes, para construir la agenda institucional.</t>
  </si>
  <si>
    <t>Gestionar profesionales</t>
  </si>
  <si>
    <t>RF-008</t>
  </si>
  <si>
    <t>El profesional se asocia a una institución y a servicios válidos. • No se crean asociaciones duplicadas equivalentes. • Los cambios relevantes quedan auditados.</t>
  </si>
  <si>
    <t>feat/professionals-read-foundation</t>
  </si>
  <si>
    <t>HU-014</t>
  </si>
  <si>
    <t>Agenda</t>
  </si>
  <si>
    <t>Como usuario autorizado, quiero configurar disponibilidad, bloqueos e indisponibilidades, para evitar que se ofrezcan horarios no atendibles.</t>
  </si>
  <si>
    <t>Configurar disponibilidad</t>
  </si>
  <si>
    <t>RF-009</t>
  </si>
  <si>
    <t>No se aceptan rangos inválidos o superpuestos cuando generen conflicto. • Los bloqueos impiden nuevas reservas en el periodo afectado. • La agenda refleja los cambios de disponibilidad.</t>
  </si>
  <si>
    <t>feat/availability-read-foundation</t>
  </si>
  <si>
    <t>HU-015</t>
  </si>
  <si>
    <t>Como funcionario, quiero consultar la agenda por fecha, sede, servicio, profesional y estado, para gestionar la operación diaria.</t>
  </si>
  <si>
    <t>Consultar agenda institucional</t>
  </si>
  <si>
    <t>RF-010</t>
  </si>
  <si>
    <t>La agenda puede filtrarse por los criterios definidos. • Cada cita muestra estado y datos operativos relevantes. • El usuario sólo consulta sedes/recursos dentro de su ámbito autorizado.</t>
  </si>
  <si>
    <t>HU-016</t>
  </si>
  <si>
    <t>Reasignación</t>
  </si>
  <si>
    <t>Como funcionario autorizado, quiero visualizar el cupo liberado, candidatos evaluados, oferta y estado del flujo, para supervisar la reasignación automática.</t>
  </si>
  <si>
    <t>Supervisar una reasignación</t>
  </si>
  <si>
    <t>RF-032 / RF-033</t>
  </si>
  <si>
    <t>El flujo muestra al menos cupo, candidatos, oferta y estado actual. • La vista distingue operación automática de intervención manual autorizada. • Cada paso crítico posee trazabilidad.</t>
  </si>
  <si>
    <t>Modelo Prisma/migraciones de reasignación y ofertas</t>
  </si>
  <si>
    <t>Modelo de datos de reasignación/ofertas existe; lógica funcional de supervisión pendiente.</t>
  </si>
  <si>
    <t>HU-017</t>
  </si>
  <si>
    <t>Operación</t>
  </si>
  <si>
    <t>Como funcionario o profesional autorizado, quiero registrar asistencia o inasistencia, para mantener el historial operativo y apoyar las reglas institucionales.</t>
  </si>
  <si>
    <t>Registrar asistencia e inasistencia</t>
  </si>
  <si>
    <t>Media</t>
  </si>
  <si>
    <t>RF-017</t>
  </si>
  <si>
    <t>Objetivo</t>
  </si>
  <si>
    <t>Sólo roles autorizados registran asistencia/inasistencia. • No se registra asistencia sobre una cita cancelada. • El cambio queda persistido y auditado.</t>
  </si>
  <si>
    <t>Pendiente para versión objetivo: asistencia/inasistencia.</t>
  </si>
  <si>
    <t>HU-018</t>
  </si>
  <si>
    <t>Como administrador institucional, quiero configurar parámetros permitidos de priorización, para adaptar la reasignación a las políticas de la institución.</t>
  </si>
  <si>
    <t>Configurar reglas de reasignación</t>
  </si>
  <si>
    <t>Pendiente trazabilidad RF</t>
  </si>
  <si>
    <t>Sólo administradores autorizados pueden cambiar parámetros. • Los valores deben respetar límites definidos por el sistema. • Los cambios quedan versionados o auditados y no alteran retroactivamente decisiones cerradas.</t>
  </si>
  <si>
    <t>Pendiente para versión objetivo. Falta formalizar trazabilidad con un RF específico si se mantiene.</t>
  </si>
  <si>
    <t>HU-019</t>
  </si>
  <si>
    <t>Reportes</t>
  </si>
  <si>
    <t>Como administrador, quiero consultar indicadores de cancelaciones, ofertas y cupos recuperados, para evaluar el desempeño de la agenda.</t>
  </si>
  <si>
    <t>Consultar indicadores</t>
  </si>
  <si>
    <t>Sprint 7</t>
  </si>
  <si>
    <t>RF-037</t>
  </si>
  <si>
    <t>Los indicadores se calculan a partir de datos persistidos. • Los filtros respetan el ámbito institucional. • Los resultados distinguen cancelaciones, ofertas, aceptaciones, expiraciones y cupos recuperados cuando corresponda.</t>
  </si>
  <si>
    <t>Pendiente para versión objetivo: reportes e indicadores.</t>
  </si>
  <si>
    <t>HU-020</t>
  </si>
  <si>
    <t>Auditoría</t>
  </si>
  <si>
    <t>Como auditor autorizado, quiero consultar la bitácora de operaciones relevantes, para reconstruir qué ocurrió, cuándo y por quién.</t>
  </si>
  <si>
    <t>Consultar trazabilidad</t>
  </si>
  <si>
    <t>RF-036</t>
  </si>
  <si>
    <t>El auditor posee acceso de lectura sin capacidad de alterar eventos. • La bitácora permite identificar actor/sistema, fecha, acción y recurso afectado según corresponda. • Los logs no exponen secretos o credenciales.</t>
  </si>
  <si>
    <t>Pendiente para versión objetivo: consulta de auditoría.</t>
  </si>
  <si>
    <t>Nota: los Story Points provienen del documento de Historias de Usuario v0.1 y se consideran estimaciones iniciales sujetas a Refinement/Planning.</t>
  </si>
  <si>
    <t>Indicador</t>
  </si>
  <si>
    <t>Valor</t>
  </si>
  <si>
    <t>Historias</t>
  </si>
  <si>
    <t>Historias totales</t>
  </si>
  <si>
    <t>Story Points totales</t>
  </si>
  <si>
    <t>SP completados</t>
  </si>
  <si>
    <t>Avance por Story Points</t>
  </si>
  <si>
    <t>Historias MVP</t>
  </si>
  <si>
    <t>Historias Objetivo</t>
  </si>
  <si>
    <t>Total</t>
  </si>
  <si>
    <t>Versión 1.3 · Primera evaluación · 09-09-2026 · Product Backlog actualizado con integración Web/API validada y PR #43 mergeado.</t>
  </si>
  <si>
    <t>feat/catalog-read-foundation / feat/availability-read-foundation / feat/web-api-integration · PR #43</t>
  </si>
  <si>
    <t>S5-T05 · PR #43</t>
  </si>
  <si>
    <t>Búsqueda funcional completada de punta a punta: institución/sede/servicio, consulta de disponibilidad y resultados reales en Web. Cierre funcional realizado en Sprint 5 sobre la base backend iniciada en Sprint 4; validación Web/API/PostgreSQL E2E 13/13 y revisión manual.</t>
  </si>
  <si>
    <t>commit 89d15a8 · GET /api/v1/appointments/me</t>
  </si>
  <si>
    <t>HU-005 creada en GitHub Projects</t>
  </si>
  <si>
    <t>Consulta autenticada de citas propias implementada. Aislamiento por AuthenticatedPrincipal, DTO público controlado, orden startsAt ASC/id ASC. Validación al cierre de HU-005: 96/96 unitarios, appointments E2E 14/14 y checkpoint 1/1.</t>
  </si>
  <si>
    <t>feat/appointments-cancellation · commit 9c62153 · PR #37</t>
  </si>
  <si>
    <t>CitaJusta #32 · PR #37</t>
  </si>
  <si>
    <t>Cancelación transaccional e idempotente implementada: AGENDADA → CANCELADA y AgendaSlot RESERVED → RELEASED, sin volver a AVAILABLE. Concurrencia validada 200/200 sin doble efecto. Validación actual: 114/114 unitarios, appointments E2E 22/22, checkpoint 1/1 y build aprobado.</t>
  </si>
  <si>
    <t>Lectura de instituciones, sedes y servicios implementada y consumida por la Web; CRUD administrativo continúa pendiente.</t>
  </si>
  <si>
    <t>Lectura de profesionales/asociaciones implementada y consumida por la Web; administración de profesionales continúa pendiente.</t>
  </si>
  <si>
    <t>Consulta de disponibilidad/cupos implementada y consumida por la Web; configuración administrativa de horarios y bloqueos continúa pendiente.</t>
  </si>
  <si>
    <t>Consulta de disponibilidad por contexto implementada; vista completa de agenda institucional para funcionarios continúa pendiente.</t>
  </si>
  <si>
    <t>CITAJUSTA — RESUMEN DEL PRODUCT BACKLOG (ACTUALIZADO 09-09-2026)</t>
  </si>
  <si>
    <t>Notas para primera evaluación</t>
  </si>
  <si>
    <t>• HU-001 a HU-006 están Done; HU-003 cerró funcionalmente con la integración Web/API del PR #43.
• HU-012 a HU-015 siguen En progreso: existe lectura/consulta, pero falta la administración institucional completa.
• Validación actual: 114/114 backend, 22/22 E2E appointments, 1/1 checkpoint, 39/39 web y 13/13 Web/API/PostgreSQL.
• Próximo foco: HU-007/HU-008 (lista de espera y preferencias), seguido del motor de ofertas/reasignación.</t>
  </si>
  <si>
    <t>Último avance técnico incorporado al Backlog</t>
  </si>
  <si>
    <t>PR #43 mergeado: integración Web/API completada y flujo Registro → Login → Catálogos → Disponibilidad → Reserva → Mis citas → Cancelación → Logout validado. Avance del Backlog: 6 historias Done, 4 En progreso, 10 Pendientes; 24/105 SP completados (22,9%).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</si>
</sst>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rgb="FF000000"/>
      <name val="Carlito"/>
    </font>
    <font>
      <b/>
      <sz val="16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1"/>
      <color rgb="FF1F1F1F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7F9FB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5" borderId="2" xfId="0" applyFont="1" applyFill="1" applyBorder="1" applyAlignment="1">
      <alignment wrapText="1"/>
    </xf>
    <xf numFmtId="0" fontId="7" fillId="0" borderId="3" xfId="0" applyFont="1" applyBorder="1"/>
    <xf numFmtId="0" fontId="0" fillId="0" borderId="4" xfId="0" applyBorder="1" applyAlignment="1">
      <alignment vertical="top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/>
    <xf numFmtId="0" fontId="7" fillId="0" borderId="9" xfId="0" applyFont="1" applyBorder="1"/>
    <xf numFmtId="0" fontId="6" fillId="6" borderId="2" xfId="0" applyFont="1" applyFill="1" applyBorder="1"/>
    <xf numFmtId="0" fontId="7" fillId="0" borderId="10" xfId="0" applyFont="1" applyBorder="1"/>
    <xf numFmtId="0" fontId="7" fillId="0" borderId="11" xfId="0" applyFont="1" applyBorder="1" applyAlignment="1">
      <alignment wrapText="1"/>
    </xf>
    <xf numFmtId="0" fontId="7" fillId="0" borderId="6" xfId="0" applyFont="1" applyBorder="1"/>
    <xf numFmtId="0" fontId="7" fillId="0" borderId="7" xfId="0" applyFont="1" applyBorder="1"/>
    <xf numFmtId="0" fontId="7" fillId="0" borderId="12" xfId="0" applyFont="1" applyBorder="1"/>
    <xf numFmtId="0" fontId="2" fillId="0" borderId="14" xfId="0" applyFont="1" applyBorder="1" applyAlignment="1">
      <alignment vertical="top" wrapText="1"/>
    </xf>
    <xf numFmtId="0" fontId="3" fillId="7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s-CL"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Historias por estado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Historias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val>
            <c:numRef>
              <c:f>Resumen!$E$4:$E$6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06AD-46DE-B5DA-C4FD80BDF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784184"/>
        <c:axId val="2056864122"/>
      </c:barChart>
      <c:catAx>
        <c:axId val="2041784184"/>
        <c:scaling>
          <c:orientation val="minMax"/>
        </c:scaling>
        <c:delete val="0"/>
        <c:axPos val="b"/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2056864122"/>
        <c:crosses val="autoZero"/>
        <c:auto val="1"/>
        <c:lblAlgn val="ctr"/>
        <c:lblOffset val="100"/>
        <c:noMultiLvlLbl val="0"/>
      </c:catAx>
      <c:valAx>
        <c:axId val="2056864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20417841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</xdr:row>
      <xdr:rowOff>9525</xdr:rowOff>
    </xdr:from>
    <xdr:ext cx="8258175" cy="33432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_backlog" displayName="Product_backlog" ref="A4:N24" headerRowDxfId="0" headerRowBorderDxfId="1">
  <tableColumns count="14">
    <tableColumn id="1" xr3:uid="{00000000-0010-0000-0000-000001000000}" name="ID"/>
    <tableColumn id="2" xr3:uid="{00000000-0010-0000-0000-000002000000}" name="Épica"/>
    <tableColumn id="3" xr3:uid="{00000000-0010-0000-0000-000003000000}" name="Historia de Usuario"/>
    <tableColumn id="4" xr3:uid="{00000000-0010-0000-0000-000004000000}" name="Alias"/>
    <tableColumn id="5" xr3:uid="{00000000-0010-0000-0000-000005000000}" name="Estado"/>
    <tableColumn id="6" xr3:uid="{00000000-0010-0000-0000-000006000000}" name="Story Points"/>
    <tableColumn id="7" xr3:uid="{00000000-0010-0000-0000-000007000000}" name="Sprint"/>
    <tableColumn id="8" xr3:uid="{00000000-0010-0000-0000-000008000000}" name="Prioridad"/>
    <tableColumn id="9" xr3:uid="{00000000-0010-0000-0000-000009000000}" name="RF"/>
    <tableColumn id="10" xr3:uid="{00000000-0010-0000-0000-00000A000000}" name="Alcance"/>
    <tableColumn id="11" xr3:uid="{00000000-0010-0000-0000-00000B000000}" name="Criterios de aceptación (resumen)"/>
    <tableColumn id="12" xr3:uid="{00000000-0010-0000-0000-00000C000000}" name="Evidencia / rama"/>
    <tableColumn id="13" xr3:uid="{00000000-0010-0000-0000-00000D000000}" name="Issue GitHub"/>
    <tableColumn id="14" xr3:uid="{00000000-0010-0000-0000-00000E000000}" name="Comentarios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C32" sqref="C32"/>
    </sheetView>
  </sheetViews>
  <sheetFormatPr baseColWidth="10" defaultColWidth="12.625" defaultRowHeight="14.25"/>
  <cols>
    <col min="1" max="1" width="12" customWidth="1"/>
    <col min="2" max="2" width="18" customWidth="1"/>
    <col min="3" max="3" width="46" customWidth="1"/>
    <col min="4" max="4" width="26" customWidth="1"/>
    <col min="5" max="5" width="15" customWidth="1"/>
    <col min="6" max="6" width="22.125" customWidth="1"/>
    <col min="7" max="7" width="12" customWidth="1"/>
    <col min="8" max="8" width="15.75" customWidth="1"/>
    <col min="9" max="9" width="20" customWidth="1"/>
    <col min="10" max="10" width="12" customWidth="1"/>
    <col min="11" max="11" width="52" customWidth="1"/>
    <col min="12" max="12" width="38" customWidth="1"/>
    <col min="13" max="13" width="22" customWidth="1"/>
    <col min="14" max="14" width="44" customWidth="1"/>
  </cols>
  <sheetData>
    <row r="1" spans="1:14" ht="27.7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0" t="s">
        <v>171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3.75" customHeight="1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13</v>
      </c>
      <c r="N4" s="27" t="s">
        <v>14</v>
      </c>
    </row>
    <row r="5" spans="1:14" ht="43.5" customHeight="1">
      <c r="A5" s="26" t="s">
        <v>15</v>
      </c>
      <c r="B5" s="26" t="s">
        <v>16</v>
      </c>
      <c r="C5" s="26" t="s">
        <v>17</v>
      </c>
      <c r="D5" s="26" t="s">
        <v>18</v>
      </c>
      <c r="E5" s="26" t="s">
        <v>19</v>
      </c>
      <c r="F5" s="26">
        <v>3</v>
      </c>
      <c r="G5" s="26" t="s">
        <v>20</v>
      </c>
      <c r="H5" s="26" t="s">
        <v>21</v>
      </c>
      <c r="I5" s="26" t="s">
        <v>22</v>
      </c>
      <c r="J5" s="26" t="s">
        <v>23</v>
      </c>
      <c r="K5" s="26" t="s">
        <v>24</v>
      </c>
      <c r="L5" s="26" t="s">
        <v>25</v>
      </c>
      <c r="M5" s="26" t="s">
        <v>26</v>
      </c>
      <c r="N5" s="26" t="s">
        <v>27</v>
      </c>
    </row>
    <row r="6" spans="1:14" ht="43.5" customHeight="1">
      <c r="A6" s="1" t="s">
        <v>28</v>
      </c>
      <c r="B6" s="1" t="s">
        <v>16</v>
      </c>
      <c r="C6" s="1" t="s">
        <v>29</v>
      </c>
      <c r="D6" s="1" t="s">
        <v>30</v>
      </c>
      <c r="E6" s="1" t="s">
        <v>19</v>
      </c>
      <c r="F6" s="1">
        <v>3</v>
      </c>
      <c r="G6" s="1" t="s">
        <v>20</v>
      </c>
      <c r="H6" s="1" t="s">
        <v>31</v>
      </c>
      <c r="I6" s="1" t="s">
        <v>32</v>
      </c>
      <c r="J6" s="1" t="s">
        <v>23</v>
      </c>
      <c r="K6" s="1" t="s">
        <v>33</v>
      </c>
      <c r="L6" s="1" t="s">
        <v>34</v>
      </c>
      <c r="M6" s="1" t="s">
        <v>26</v>
      </c>
      <c r="N6" s="1" t="s">
        <v>35</v>
      </c>
    </row>
    <row r="7" spans="1:14" ht="43.5" customHeight="1">
      <c r="A7" s="1" t="s">
        <v>36</v>
      </c>
      <c r="B7" s="1" t="s">
        <v>37</v>
      </c>
      <c r="C7" s="1" t="s">
        <v>38</v>
      </c>
      <c r="D7" s="1" t="s">
        <v>39</v>
      </c>
      <c r="E7" s="1" t="s">
        <v>19</v>
      </c>
      <c r="F7" s="1">
        <v>5</v>
      </c>
      <c r="G7" s="1" t="s">
        <v>40</v>
      </c>
      <c r="H7" s="1" t="s">
        <v>31</v>
      </c>
      <c r="I7" s="1" t="s">
        <v>41</v>
      </c>
      <c r="J7" s="1" t="s">
        <v>23</v>
      </c>
      <c r="K7" s="1" t="s">
        <v>42</v>
      </c>
      <c r="L7" s="1" t="s">
        <v>172</v>
      </c>
      <c r="M7" s="1" t="s">
        <v>173</v>
      </c>
      <c r="N7" s="1" t="s">
        <v>174</v>
      </c>
    </row>
    <row r="8" spans="1:14" ht="43.5" customHeight="1">
      <c r="A8" s="1" t="s">
        <v>43</v>
      </c>
      <c r="B8" s="1" t="s">
        <v>37</v>
      </c>
      <c r="C8" s="1" t="s">
        <v>44</v>
      </c>
      <c r="D8" s="1" t="s">
        <v>45</v>
      </c>
      <c r="E8" s="1" t="s">
        <v>19</v>
      </c>
      <c r="F8" s="1">
        <v>5</v>
      </c>
      <c r="G8" s="1" t="s">
        <v>46</v>
      </c>
      <c r="H8" s="1" t="s">
        <v>31</v>
      </c>
      <c r="I8" s="1" t="s">
        <v>47</v>
      </c>
      <c r="J8" s="1" t="s">
        <v>23</v>
      </c>
      <c r="K8" s="1" t="s">
        <v>48</v>
      </c>
      <c r="L8" s="1" t="s">
        <v>49</v>
      </c>
      <c r="M8" s="1" t="s">
        <v>50</v>
      </c>
      <c r="N8" s="1" t="s">
        <v>51</v>
      </c>
    </row>
    <row r="9" spans="1:14" ht="43.5" customHeight="1">
      <c r="A9" s="1" t="s">
        <v>52</v>
      </c>
      <c r="B9" s="1" t="s">
        <v>37</v>
      </c>
      <c r="C9" s="1" t="s">
        <v>53</v>
      </c>
      <c r="D9" s="1" t="s">
        <v>54</v>
      </c>
      <c r="E9" s="1" t="s">
        <v>19</v>
      </c>
      <c r="F9" s="1">
        <v>3</v>
      </c>
      <c r="G9" s="1" t="s">
        <v>46</v>
      </c>
      <c r="H9" s="1" t="s">
        <v>21</v>
      </c>
      <c r="I9" s="1" t="s">
        <v>55</v>
      </c>
      <c r="J9" s="1" t="s">
        <v>23</v>
      </c>
      <c r="K9" s="1" t="s">
        <v>56</v>
      </c>
      <c r="L9" s="1" t="s">
        <v>175</v>
      </c>
      <c r="M9" s="1" t="s">
        <v>176</v>
      </c>
      <c r="N9" s="1" t="s">
        <v>177</v>
      </c>
    </row>
    <row r="10" spans="1:14" ht="43.5" customHeight="1">
      <c r="A10" s="1" t="s">
        <v>57</v>
      </c>
      <c r="B10" s="1" t="s">
        <v>37</v>
      </c>
      <c r="C10" s="1" t="s">
        <v>58</v>
      </c>
      <c r="D10" s="1" t="s">
        <v>59</v>
      </c>
      <c r="E10" s="1" t="s">
        <v>19</v>
      </c>
      <c r="F10" s="1">
        <v>5</v>
      </c>
      <c r="G10" s="1" t="s">
        <v>46</v>
      </c>
      <c r="H10" s="1" t="s">
        <v>31</v>
      </c>
      <c r="I10" s="1" t="s">
        <v>60</v>
      </c>
      <c r="J10" s="1" t="s">
        <v>23</v>
      </c>
      <c r="K10" s="1" t="s">
        <v>61</v>
      </c>
      <c r="L10" s="1" t="s">
        <v>178</v>
      </c>
      <c r="M10" s="1" t="s">
        <v>179</v>
      </c>
      <c r="N10" s="1" t="s">
        <v>180</v>
      </c>
    </row>
    <row r="11" spans="1:14" ht="43.5" customHeight="1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>
        <v>5</v>
      </c>
      <c r="G11" s="1" t="s">
        <v>46</v>
      </c>
      <c r="H11" s="1" t="s">
        <v>31</v>
      </c>
      <c r="I11" s="1" t="s">
        <v>67</v>
      </c>
      <c r="J11" s="1" t="s">
        <v>23</v>
      </c>
      <c r="K11" s="1" t="s">
        <v>68</v>
      </c>
      <c r="L11" s="1"/>
      <c r="M11" s="1" t="s">
        <v>26</v>
      </c>
      <c r="N11" s="1" t="s">
        <v>69</v>
      </c>
    </row>
    <row r="12" spans="1:14" ht="43.5" customHeight="1">
      <c r="A12" s="1" t="s">
        <v>70</v>
      </c>
      <c r="B12" s="1" t="s">
        <v>63</v>
      </c>
      <c r="C12" s="1" t="s">
        <v>71</v>
      </c>
      <c r="D12" s="1" t="s">
        <v>72</v>
      </c>
      <c r="E12" s="1" t="s">
        <v>66</v>
      </c>
      <c r="F12" s="1">
        <v>5</v>
      </c>
      <c r="G12" s="1" t="s">
        <v>46</v>
      </c>
      <c r="H12" s="1" t="s">
        <v>21</v>
      </c>
      <c r="I12" s="1" t="s">
        <v>73</v>
      </c>
      <c r="J12" s="1" t="s">
        <v>23</v>
      </c>
      <c r="K12" s="1" t="s">
        <v>74</v>
      </c>
      <c r="L12" s="1"/>
      <c r="M12" s="1" t="s">
        <v>26</v>
      </c>
      <c r="N12" s="1" t="s">
        <v>75</v>
      </c>
    </row>
    <row r="13" spans="1:14" ht="43.5" customHeight="1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66</v>
      </c>
      <c r="F13" s="1">
        <v>8</v>
      </c>
      <c r="G13" s="1" t="s">
        <v>80</v>
      </c>
      <c r="H13" s="1" t="s">
        <v>31</v>
      </c>
      <c r="I13" s="1" t="s">
        <v>81</v>
      </c>
      <c r="J13" s="1" t="s">
        <v>23</v>
      </c>
      <c r="K13" s="1" t="s">
        <v>82</v>
      </c>
      <c r="L13" s="1"/>
      <c r="M13" s="1" t="s">
        <v>26</v>
      </c>
      <c r="N13" s="1" t="s">
        <v>83</v>
      </c>
    </row>
    <row r="14" spans="1:14" ht="43.5" customHeight="1">
      <c r="A14" s="1" t="s">
        <v>84</v>
      </c>
      <c r="B14" s="1" t="s">
        <v>77</v>
      </c>
      <c r="C14" s="1" t="s">
        <v>85</v>
      </c>
      <c r="D14" s="1" t="s">
        <v>86</v>
      </c>
      <c r="E14" s="1" t="s">
        <v>66</v>
      </c>
      <c r="F14" s="1">
        <v>8</v>
      </c>
      <c r="G14" s="1" t="s">
        <v>80</v>
      </c>
      <c r="H14" s="1" t="s">
        <v>31</v>
      </c>
      <c r="I14" s="1" t="s">
        <v>87</v>
      </c>
      <c r="J14" s="1" t="s">
        <v>23</v>
      </c>
      <c r="K14" s="1" t="s">
        <v>88</v>
      </c>
      <c r="L14" s="1"/>
      <c r="M14" s="1" t="s">
        <v>26</v>
      </c>
      <c r="N14" s="1" t="s">
        <v>89</v>
      </c>
    </row>
    <row r="15" spans="1:14" ht="43.5" customHeight="1">
      <c r="A15" s="1" t="s">
        <v>90</v>
      </c>
      <c r="B15" s="1" t="s">
        <v>77</v>
      </c>
      <c r="C15" s="1" t="s">
        <v>91</v>
      </c>
      <c r="D15" s="1" t="s">
        <v>92</v>
      </c>
      <c r="E15" s="1" t="s">
        <v>66</v>
      </c>
      <c r="F15" s="1">
        <v>3</v>
      </c>
      <c r="G15" s="1" t="s">
        <v>80</v>
      </c>
      <c r="H15" s="1" t="s">
        <v>21</v>
      </c>
      <c r="I15" s="1" t="s">
        <v>93</v>
      </c>
      <c r="J15" s="1" t="s">
        <v>23</v>
      </c>
      <c r="K15" s="1" t="s">
        <v>94</v>
      </c>
      <c r="L15" s="1"/>
      <c r="M15" s="1" t="s">
        <v>26</v>
      </c>
      <c r="N15" s="1" t="s">
        <v>95</v>
      </c>
    </row>
    <row r="16" spans="1:14" ht="43.5" customHeight="1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1">
        <v>5</v>
      </c>
      <c r="G16" s="1" t="s">
        <v>40</v>
      </c>
      <c r="H16" s="1" t="s">
        <v>21</v>
      </c>
      <c r="I16" s="1" t="s">
        <v>101</v>
      </c>
      <c r="J16" s="1" t="s">
        <v>23</v>
      </c>
      <c r="K16" s="1" t="s">
        <v>102</v>
      </c>
      <c r="L16" s="1" t="s">
        <v>103</v>
      </c>
      <c r="M16" s="1" t="s">
        <v>26</v>
      </c>
      <c r="N16" s="1" t="s">
        <v>181</v>
      </c>
    </row>
    <row r="17" spans="1:14" ht="43.5" customHeight="1">
      <c r="A17" s="1" t="s">
        <v>104</v>
      </c>
      <c r="B17" s="1" t="s">
        <v>97</v>
      </c>
      <c r="C17" s="1" t="s">
        <v>105</v>
      </c>
      <c r="D17" s="1" t="s">
        <v>106</v>
      </c>
      <c r="E17" s="1" t="s">
        <v>100</v>
      </c>
      <c r="F17" s="1">
        <v>5</v>
      </c>
      <c r="G17" s="1" t="s">
        <v>40</v>
      </c>
      <c r="H17" s="1" t="s">
        <v>21</v>
      </c>
      <c r="I17" s="1" t="s">
        <v>107</v>
      </c>
      <c r="J17" s="1" t="s">
        <v>23</v>
      </c>
      <c r="K17" s="1" t="s">
        <v>108</v>
      </c>
      <c r="L17" s="1" t="s">
        <v>109</v>
      </c>
      <c r="M17" s="1" t="s">
        <v>26</v>
      </c>
      <c r="N17" s="1" t="s">
        <v>182</v>
      </c>
    </row>
    <row r="18" spans="1:14" ht="43.5" customHeight="1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100</v>
      </c>
      <c r="F18" s="1">
        <v>8</v>
      </c>
      <c r="G18" s="1" t="s">
        <v>40</v>
      </c>
      <c r="H18" s="1" t="s">
        <v>31</v>
      </c>
      <c r="I18" s="1" t="s">
        <v>114</v>
      </c>
      <c r="J18" s="1" t="s">
        <v>23</v>
      </c>
      <c r="K18" s="1" t="s">
        <v>115</v>
      </c>
      <c r="L18" s="1" t="s">
        <v>116</v>
      </c>
      <c r="M18" s="1" t="s">
        <v>26</v>
      </c>
      <c r="N18" s="1" t="s">
        <v>183</v>
      </c>
    </row>
    <row r="19" spans="1:14" ht="43.5" customHeight="1">
      <c r="A19" s="1" t="s">
        <v>117</v>
      </c>
      <c r="B19" s="1" t="s">
        <v>111</v>
      </c>
      <c r="C19" s="1" t="s">
        <v>118</v>
      </c>
      <c r="D19" s="1" t="s">
        <v>119</v>
      </c>
      <c r="E19" s="1" t="s">
        <v>100</v>
      </c>
      <c r="F19" s="1">
        <v>5</v>
      </c>
      <c r="G19" s="1" t="s">
        <v>40</v>
      </c>
      <c r="H19" s="1" t="s">
        <v>21</v>
      </c>
      <c r="I19" s="1" t="s">
        <v>120</v>
      </c>
      <c r="J19" s="1" t="s">
        <v>23</v>
      </c>
      <c r="K19" s="1" t="s">
        <v>121</v>
      </c>
      <c r="L19" s="1" t="s">
        <v>116</v>
      </c>
      <c r="M19" s="1" t="s">
        <v>26</v>
      </c>
      <c r="N19" s="1" t="s">
        <v>184</v>
      </c>
    </row>
    <row r="20" spans="1:14" ht="43.5" customHeight="1">
      <c r="A20" s="1" t="s">
        <v>122</v>
      </c>
      <c r="B20" s="1" t="s">
        <v>123</v>
      </c>
      <c r="C20" s="1" t="s">
        <v>124</v>
      </c>
      <c r="D20" s="1" t="s">
        <v>125</v>
      </c>
      <c r="E20" s="1" t="s">
        <v>66</v>
      </c>
      <c r="F20" s="1">
        <v>8</v>
      </c>
      <c r="G20" s="1" t="s">
        <v>80</v>
      </c>
      <c r="H20" s="1" t="s">
        <v>31</v>
      </c>
      <c r="I20" s="1" t="s">
        <v>126</v>
      </c>
      <c r="J20" s="1" t="s">
        <v>23</v>
      </c>
      <c r="K20" s="1" t="s">
        <v>127</v>
      </c>
      <c r="L20" s="1" t="s">
        <v>128</v>
      </c>
      <c r="M20" s="1" t="s">
        <v>26</v>
      </c>
      <c r="N20" s="1" t="s">
        <v>129</v>
      </c>
    </row>
    <row r="21" spans="1:14" ht="43.5" customHeight="1">
      <c r="A21" s="1" t="s">
        <v>130</v>
      </c>
      <c r="B21" s="1" t="s">
        <v>131</v>
      </c>
      <c r="C21" s="1" t="s">
        <v>132</v>
      </c>
      <c r="D21" s="1" t="s">
        <v>133</v>
      </c>
      <c r="E21" s="1" t="s">
        <v>66</v>
      </c>
      <c r="F21" s="1">
        <v>3</v>
      </c>
      <c r="G21" s="1" t="s">
        <v>46</v>
      </c>
      <c r="H21" s="1" t="s">
        <v>134</v>
      </c>
      <c r="I21" s="1" t="s">
        <v>135</v>
      </c>
      <c r="J21" s="1" t="s">
        <v>136</v>
      </c>
      <c r="K21" s="1" t="s">
        <v>137</v>
      </c>
      <c r="L21" s="1"/>
      <c r="M21" s="1" t="s">
        <v>26</v>
      </c>
      <c r="N21" s="1" t="s">
        <v>138</v>
      </c>
    </row>
    <row r="22" spans="1:14" ht="43.5" customHeight="1">
      <c r="A22" s="1" t="s">
        <v>139</v>
      </c>
      <c r="B22" s="1" t="s">
        <v>97</v>
      </c>
      <c r="C22" s="1" t="s">
        <v>140</v>
      </c>
      <c r="D22" s="1" t="s">
        <v>141</v>
      </c>
      <c r="E22" s="1" t="s">
        <v>66</v>
      </c>
      <c r="F22" s="1">
        <v>8</v>
      </c>
      <c r="G22" s="1" t="s">
        <v>80</v>
      </c>
      <c r="H22" s="1" t="s">
        <v>21</v>
      </c>
      <c r="I22" s="1" t="s">
        <v>142</v>
      </c>
      <c r="J22" s="1" t="s">
        <v>136</v>
      </c>
      <c r="K22" s="1" t="s">
        <v>143</v>
      </c>
      <c r="L22" s="1"/>
      <c r="M22" s="1" t="s">
        <v>26</v>
      </c>
      <c r="N22" s="1" t="s">
        <v>144</v>
      </c>
    </row>
    <row r="23" spans="1:14" ht="43.5" customHeight="1">
      <c r="A23" s="1" t="s">
        <v>145</v>
      </c>
      <c r="B23" s="1" t="s">
        <v>146</v>
      </c>
      <c r="C23" s="1" t="s">
        <v>147</v>
      </c>
      <c r="D23" s="1" t="s">
        <v>148</v>
      </c>
      <c r="E23" s="1" t="s">
        <v>66</v>
      </c>
      <c r="F23" s="1">
        <v>5</v>
      </c>
      <c r="G23" s="1" t="s">
        <v>149</v>
      </c>
      <c r="H23" s="1" t="s">
        <v>134</v>
      </c>
      <c r="I23" s="1" t="s">
        <v>150</v>
      </c>
      <c r="J23" s="1" t="s">
        <v>136</v>
      </c>
      <c r="K23" s="1" t="s">
        <v>151</v>
      </c>
      <c r="L23" s="1"/>
      <c r="M23" s="1" t="s">
        <v>26</v>
      </c>
      <c r="N23" s="1" t="s">
        <v>152</v>
      </c>
    </row>
    <row r="24" spans="1:14" ht="43.5" customHeight="1">
      <c r="A24" s="1" t="s">
        <v>153</v>
      </c>
      <c r="B24" s="1" t="s">
        <v>154</v>
      </c>
      <c r="C24" s="1" t="s">
        <v>155</v>
      </c>
      <c r="D24" s="1" t="s">
        <v>156</v>
      </c>
      <c r="E24" s="1" t="s">
        <v>66</v>
      </c>
      <c r="F24" s="1">
        <v>5</v>
      </c>
      <c r="G24" s="1" t="s">
        <v>149</v>
      </c>
      <c r="H24" s="1" t="s">
        <v>21</v>
      </c>
      <c r="I24" s="1" t="s">
        <v>157</v>
      </c>
      <c r="J24" s="1" t="s">
        <v>136</v>
      </c>
      <c r="K24" s="1" t="s">
        <v>158</v>
      </c>
      <c r="L24" s="1"/>
      <c r="M24" s="1" t="s">
        <v>26</v>
      </c>
      <c r="N24" s="1" t="s">
        <v>159</v>
      </c>
    </row>
    <row r="25" spans="1:14" ht="15.75" customHeight="1"/>
    <row r="26" spans="1:14" ht="15.75" customHeight="1"/>
    <row r="27" spans="1:14" ht="15.75" customHeight="1">
      <c r="A27" s="28" t="s">
        <v>160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27:N28"/>
  </mergeCells>
  <conditionalFormatting sqref="E5:E24">
    <cfRule type="expression" dxfId="4" priority="1">
      <formula>E5="Done"</formula>
    </cfRule>
    <cfRule type="expression" dxfId="3" priority="2">
      <formula>E5="En progreso"</formula>
    </cfRule>
    <cfRule type="expression" dxfId="2" priority="3">
      <formula>E5="Pendiente"</formula>
    </cfRule>
  </conditionalFormatting>
  <dataValidations count="5">
    <dataValidation type="list" allowBlank="1" sqref="H5:H24" xr:uid="{00000000-0002-0000-0000-000000000000}">
      <formula1>"Crítica,Alta,Media,Baja"</formula1>
    </dataValidation>
    <dataValidation type="custom" allowBlank="1" showDropDown="1" sqref="F5:F24" xr:uid="{00000000-0002-0000-0000-000001000000}">
      <formula1>AND(ISNUMBER(F5),(NOT(OR(NOT(ISERROR(DATEVALUE(F5))), AND(ISNUMBER(F5), LEFT(CELL("format", F5))="D")))))</formula1>
    </dataValidation>
    <dataValidation type="list" allowBlank="1" showDropDown="1" showErrorMessage="1" sqref="J5:J24" xr:uid="{00000000-0002-0000-0000-000002000000}">
      <formula1>"MVP,Objetivo"</formula1>
    </dataValidation>
    <dataValidation type="list" allowBlank="1" showDropDown="1" showErrorMessage="1" sqref="G5:G24" xr:uid="{00000000-0002-0000-0000-000003000000}">
      <formula1>"Sprint 3,Sprint 4,Sprint 5,Sprint 6,Sprint 7"</formula1>
    </dataValidation>
    <dataValidation type="list" allowBlank="1" sqref="E5:E24" xr:uid="{00000000-0002-0000-0000-000004000000}">
      <formula1>"Done,En progreso,Pendiente"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topLeftCell="A4" workbookViewId="0">
      <selection activeCell="G32" sqref="G32"/>
    </sheetView>
  </sheetViews>
  <sheetFormatPr baseColWidth="10" defaultColWidth="12.625" defaultRowHeight="14.25"/>
  <cols>
    <col min="1" max="1" width="24" customWidth="1"/>
    <col min="2" max="2" width="35.125" customWidth="1"/>
    <col min="3" max="6" width="8.625" customWidth="1"/>
  </cols>
  <sheetData>
    <row r="1" spans="1:6" ht="27.75" customHeight="1">
      <c r="A1" s="8" t="s">
        <v>185</v>
      </c>
      <c r="B1" s="9"/>
      <c r="C1" s="9"/>
      <c r="D1" s="9"/>
      <c r="E1" s="9"/>
      <c r="F1" s="9"/>
    </row>
    <row r="3" spans="1:6" ht="30">
      <c r="A3" s="2" t="s">
        <v>161</v>
      </c>
      <c r="B3" s="2" t="s">
        <v>162</v>
      </c>
      <c r="C3" s="3"/>
      <c r="D3" s="4" t="s">
        <v>5</v>
      </c>
      <c r="E3" s="4" t="s">
        <v>163</v>
      </c>
      <c r="F3" s="3"/>
    </row>
    <row r="4" spans="1:6">
      <c r="A4" s="1" t="s">
        <v>164</v>
      </c>
      <c r="B4" s="1">
        <f>COUNTA('Product Backlog'!A5:A24)</f>
        <v>20</v>
      </c>
      <c r="C4" s="3"/>
      <c r="D4" s="5" t="s">
        <v>19</v>
      </c>
      <c r="E4" s="5">
        <f t="shared" ref="E4:E6" si="0">B6</f>
        <v>6</v>
      </c>
      <c r="F4" s="3"/>
    </row>
    <row r="5" spans="1:6" ht="28.5">
      <c r="A5" s="1" t="s">
        <v>165</v>
      </c>
      <c r="B5" s="1">
        <f>SUM('Product Backlog'!F5:F24)</f>
        <v>105</v>
      </c>
      <c r="C5" s="3"/>
      <c r="D5" s="5" t="s">
        <v>100</v>
      </c>
      <c r="E5" s="5">
        <f t="shared" si="0"/>
        <v>4</v>
      </c>
      <c r="F5" s="3"/>
    </row>
    <row r="6" spans="1:6" ht="28.5">
      <c r="A6" s="1" t="s">
        <v>19</v>
      </c>
      <c r="B6" s="1">
        <f>COUNTIF('Product Backlog'!E5:E24,"Done")</f>
        <v>6</v>
      </c>
      <c r="C6" s="3"/>
      <c r="D6" s="5" t="s">
        <v>66</v>
      </c>
      <c r="E6" s="5">
        <f t="shared" si="0"/>
        <v>10</v>
      </c>
      <c r="F6" s="3"/>
    </row>
    <row r="7" spans="1:6">
      <c r="A7" s="1" t="s">
        <v>100</v>
      </c>
      <c r="B7" s="1">
        <f>COUNTIF('Product Backlog'!E5:E24,"En progreso")</f>
        <v>4</v>
      </c>
      <c r="C7" s="3"/>
      <c r="D7" s="3"/>
      <c r="E7" s="3"/>
      <c r="F7" s="3"/>
    </row>
    <row r="8" spans="1:6">
      <c r="A8" s="5" t="s">
        <v>66</v>
      </c>
      <c r="B8" s="5">
        <f>COUNTIF('Product Backlog'!E5:E24,"Pendiente")</f>
        <v>10</v>
      </c>
      <c r="C8" s="3"/>
      <c r="D8" s="3"/>
      <c r="E8" s="3"/>
      <c r="F8" s="3"/>
    </row>
    <row r="9" spans="1:6" ht="30">
      <c r="A9" s="5" t="s">
        <v>166</v>
      </c>
      <c r="B9" s="5">
        <f>SUMIF('Product Backlog'!E5:E24,"Done",'Product Backlog'!F5:F24)</f>
        <v>24</v>
      </c>
      <c r="C9" s="3"/>
      <c r="D9" s="4" t="s">
        <v>7</v>
      </c>
      <c r="E9" s="4" t="s">
        <v>163</v>
      </c>
      <c r="F9" s="4" t="s">
        <v>6</v>
      </c>
    </row>
    <row r="10" spans="1:6">
      <c r="A10" s="5" t="s">
        <v>167</v>
      </c>
      <c r="B10" s="6">
        <f>IF(B5=0,0,B9/B5)</f>
        <v>0.22857142857142856</v>
      </c>
      <c r="C10" s="3"/>
      <c r="D10" s="5" t="s">
        <v>20</v>
      </c>
      <c r="E10" s="5">
        <f>COUNTIF('Product Backlog'!G5:G24,D10)</f>
        <v>2</v>
      </c>
      <c r="F10" s="5">
        <f>SUMIF('Product Backlog'!G5:G24,D10,'Product Backlog'!F5:F24)</f>
        <v>6</v>
      </c>
    </row>
    <row r="11" spans="1:6">
      <c r="A11" s="5" t="s">
        <v>168</v>
      </c>
      <c r="B11" s="5">
        <f>COUNTIF('Product Backlog'!J5:J24,"MVP")</f>
        <v>16</v>
      </c>
      <c r="C11" s="3"/>
      <c r="D11" s="5" t="s">
        <v>40</v>
      </c>
      <c r="E11" s="5">
        <f>COUNTIF('Product Backlog'!G5:G24,D11)</f>
        <v>5</v>
      </c>
      <c r="F11" s="5">
        <f>SUMIF('Product Backlog'!G5:G24,D11,'Product Backlog'!F5:F24)</f>
        <v>28</v>
      </c>
    </row>
    <row r="12" spans="1:6">
      <c r="A12" s="5" t="s">
        <v>169</v>
      </c>
      <c r="B12" s="5">
        <f>COUNTIF('Product Backlog'!J5:J24,"Objetivo")</f>
        <v>4</v>
      </c>
      <c r="C12" s="3"/>
      <c r="D12" s="5" t="s">
        <v>46</v>
      </c>
      <c r="E12" s="5">
        <f>COUNTIF('Product Backlog'!G5:G24,D12)</f>
        <v>6</v>
      </c>
      <c r="F12" s="5">
        <f>SUMIF('Product Backlog'!G5:G24,D12,'Product Backlog'!F5:F24)</f>
        <v>26</v>
      </c>
    </row>
    <row r="13" spans="1:6">
      <c r="A13" s="3"/>
      <c r="B13" s="3"/>
      <c r="C13" s="3"/>
      <c r="D13" s="5" t="s">
        <v>80</v>
      </c>
      <c r="E13" s="5">
        <f>COUNTIF('Product Backlog'!G5:G24,D13)</f>
        <v>5</v>
      </c>
      <c r="F13" s="5">
        <f>SUMIF('Product Backlog'!G5:G24,D13,'Product Backlog'!F5:F24)</f>
        <v>35</v>
      </c>
    </row>
    <row r="14" spans="1:6">
      <c r="A14" s="3"/>
      <c r="B14" s="3"/>
      <c r="C14" s="3"/>
      <c r="D14" s="5" t="s">
        <v>149</v>
      </c>
      <c r="E14" s="5">
        <f>COUNTIF('Product Backlog'!G5:G24,D14)</f>
        <v>2</v>
      </c>
      <c r="F14" s="5">
        <f>SUMIF('Product Backlog'!G5:G24,D14,'Product Backlog'!F5:F24)</f>
        <v>10</v>
      </c>
    </row>
    <row r="15" spans="1:6" ht="15">
      <c r="A15" s="12" t="s">
        <v>186</v>
      </c>
      <c r="B15" s="13"/>
      <c r="C15" s="3"/>
      <c r="D15" s="5" t="s">
        <v>170</v>
      </c>
      <c r="E15" s="5">
        <f t="shared" ref="E15:F15" si="1">SUM(E10:E14)</f>
        <v>20</v>
      </c>
      <c r="F15" s="5">
        <f t="shared" si="1"/>
        <v>105</v>
      </c>
    </row>
    <row r="16" spans="1:6">
      <c r="A16" s="14" t="s">
        <v>187</v>
      </c>
      <c r="B16" s="15"/>
      <c r="C16" s="7"/>
      <c r="D16" s="7"/>
      <c r="E16" s="7"/>
      <c r="F16" s="7"/>
    </row>
    <row r="17" spans="1:6">
      <c r="A17" s="16"/>
      <c r="B17" s="17"/>
      <c r="C17" s="7"/>
      <c r="D17" s="7"/>
      <c r="E17" s="7"/>
      <c r="F17" s="7"/>
    </row>
    <row r="18" spans="1:6">
      <c r="A18" s="16"/>
      <c r="B18" s="17"/>
      <c r="C18" s="7"/>
      <c r="D18" s="7"/>
      <c r="E18" s="7"/>
      <c r="F18" s="7"/>
    </row>
    <row r="19" spans="1:6">
      <c r="A19" s="16"/>
      <c r="B19" s="17"/>
      <c r="C19" s="7"/>
      <c r="D19" s="7"/>
      <c r="E19" s="7"/>
      <c r="F19" s="7"/>
    </row>
    <row r="20" spans="1:6">
      <c r="A20" s="16"/>
      <c r="B20" s="17"/>
      <c r="C20" s="7"/>
      <c r="D20" s="7"/>
      <c r="E20" s="7"/>
      <c r="F20" s="7"/>
    </row>
    <row r="21" spans="1:6" ht="50.25" customHeight="1">
      <c r="A21" s="18"/>
      <c r="B21" s="19"/>
    </row>
    <row r="22" spans="1:6" ht="15.75" customHeight="1"/>
    <row r="23" spans="1:6" ht="15.75" customHeight="1">
      <c r="A23" s="20" t="s">
        <v>188</v>
      </c>
      <c r="B23" s="21"/>
      <c r="C23" s="21"/>
      <c r="D23" s="21"/>
      <c r="E23" s="21"/>
      <c r="F23" s="13"/>
    </row>
    <row r="24" spans="1:6" ht="15.75" customHeight="1">
      <c r="A24" s="14" t="s">
        <v>189</v>
      </c>
      <c r="B24" s="22"/>
      <c r="C24" s="22"/>
      <c r="D24" s="22"/>
      <c r="E24" s="22"/>
      <c r="F24" s="15"/>
    </row>
    <row r="25" spans="1:6" ht="15.75" customHeight="1">
      <c r="A25" s="23"/>
      <c r="B25" s="9"/>
      <c r="C25" s="9"/>
      <c r="D25" s="9"/>
      <c r="E25" s="9"/>
      <c r="F25" s="24"/>
    </row>
    <row r="26" spans="1:6" ht="15.75" customHeight="1">
      <c r="A26" s="23"/>
      <c r="B26" s="9"/>
      <c r="C26" s="9"/>
      <c r="D26" s="9"/>
      <c r="E26" s="9"/>
      <c r="F26" s="24"/>
    </row>
    <row r="27" spans="1:6" ht="15.75" customHeight="1">
      <c r="A27" s="18"/>
      <c r="B27" s="25"/>
      <c r="C27" s="25"/>
      <c r="D27" s="25"/>
      <c r="E27" s="25"/>
      <c r="F27" s="19"/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15:B15"/>
    <mergeCell ref="A16:B21"/>
    <mergeCell ref="A23:F23"/>
    <mergeCell ref="A24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IMPUS CHILE</cp:lastModifiedBy>
  <dcterms:created xsi:type="dcterms:W3CDTF">2026-09-09T16:33:22Z</dcterms:created>
  <dcterms:modified xsi:type="dcterms:W3CDTF">2026-09-09T16:33:22Z</dcterms:modified>
</cp:coreProperties>
</file>