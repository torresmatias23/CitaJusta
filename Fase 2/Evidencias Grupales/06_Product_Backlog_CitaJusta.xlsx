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14fb83d96b4c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 Backlog" sheetId="1" r:id="R92565426a82e4bf9"/>
    <x:sheet xmlns:r="http://schemas.openxmlformats.org/officeDocument/2006/relationships" name="Resumen" sheetId="2" r:id="Rc72a9f3989734803"/>
  </x:sheets>
</x:workbook>
</file>

<file path=xl/sharedStrings.xml><?xml version="1.0" encoding="utf-8"?>
<x:sst xmlns:x="http://schemas.openxmlformats.org/spreadsheetml/2006/main">
  <x:si>
    <x:t xml:space="preserve">CITAJUSTA  PRODUCT BACKLOG PRIORIZADO</x:t>
  </x:si>
  <x:si>
    <x:t xml:space="preserve">ID</x:t>
  </x:si>
  <x:si>
    <x:t xml:space="preserve">Épica</x:t>
  </x:si>
  <x:si>
    <x:t xml:space="preserve">Historia de Usuario</x:t>
  </x:si>
  <x:si>
    <x:t xml:space="preserve">Alias</x:t>
  </x:si>
  <x:si>
    <x:t xml:space="preserve">Estado</x:t>
  </x:si>
  <x:si>
    <x:t xml:space="preserve">Story Points</x:t>
  </x:si>
  <x:si>
    <x:t xml:space="preserve">Sprint</x:t>
  </x:si>
  <x:si>
    <x:t xml:space="preserve">Prioridad</x:t>
  </x:si>
  <x:si>
    <x:t xml:space="preserve">RF</x:t>
  </x:si>
  <x:si>
    <x:t xml:space="preserve">Alcance</x:t>
  </x:si>
  <x:si>
    <x:t xml:space="preserve">Criterios de aceptación (resumen)</x:t>
  </x:si>
  <x:si>
    <x:t xml:space="preserve">Evidencia / rama</x:t>
  </x:si>
  <x:si>
    <x:t xml:space="preserve">Issue GitHub</x:t>
  </x:si>
  <x:si>
    <x:t xml:space="preserve">Comentarios</x:t>
  </x:si>
  <x:si>
    <x:t xml:space="preserve">HU-001</x:t>
  </x:si>
  <x:si>
    <x:t xml:space="preserve">Cuenta y acceso</x:t>
  </x:si>
  <x:si>
    <x:t xml:space="preserve">Como usuario final, quiero crear una cuenta, para utilizar CitaJusta y administrar mis citas.</x:t>
  </x:si>
  <x:si>
    <x:t xml:space="preserve">Registro de usuario</x:t>
  </x:si>
  <x:si>
    <x:t xml:space="preserve">Done</x:t>
  </x:si>
  <x:si>
    <x:t xml:space="preserve">Sprint 3</x:t>
  </x:si>
  <x:si>
    <x:t xml:space="preserve">Alta</x:t>
  </x:si>
  <x:si>
    <x:t xml:space="preserve">RF-001</x:t>
  </x:si>
  <x:si>
    <x:t xml:space="preserve">MVP</x:t>
  </x:si>
  <x:si>
    <x:t xml:space="preserve">El sistema valida campos obligatorios y formatos. • No permite registrar un correo ya utilizado. • La contraseña cumple la política definida y nunca se almacena en texto plano.</x:t>
  </x:si>
  <x:si>
    <x:t xml:space="preserve">feat/auth-foundation</x:t>
  </x:si>
  <x:si>
    <x:t xml:space="preserve">Pendiente de vincular</x:t>
  </x:si>
  <x:si>
    <x:t xml:space="preserve">Registro implementado y probado en Auth.</x:t>
  </x:si>
  <x:si>
    <x:t xml:space="preserve">HU-002</x:t>
  </x:si>
  <x:si>
    <x:t xml:space="preserve">Como usuario, quiero iniciar sesión de forma segura, para acceder únicamente a las funciones que me corresponden.</x:t>
  </x:si>
  <x:si>
    <x:t xml:space="preserve">Inicio de sesión</x:t>
  </x:si>
  <x:si>
    <x:t xml:space="preserve">Crítica</x:t>
  </x:si>
  <x:si>
    <x:t xml:space="preserve">RF-002</x:t>
  </x:si>
  <x:si>
    <x:t xml:space="preserve">Credenciales válidas permiten acceder. • Credenciales inválidas no revelan si el correo existe. • El backend valida autenticación y rol para recursos protegidos.</x:t>
  </x:si>
  <x:si>
    <x:t xml:space="preserve">feat/auth-foundation / feat/rbac-institution-context</x:t>
  </x:si>
  <x:si>
    <x:t xml:space="preserve">Login, refresh rotativo y logout implementados y probados.</x:t>
  </x:si>
  <x:si>
    <x:t xml:space="preserve">HU-003</x:t>
  </x:si>
  <x:si>
    <x:t xml:space="preserve">Citas</x:t>
  </x:si>
  <x:si>
    <x:t xml:space="preserve">Como usuario, quiero buscar citas por servicio, sede y fecha o preferencia, para encontrar una atención compatible con mis necesidades.</x:t>
  </x:si>
  <x:si>
    <x:t xml:space="preserve">Buscar citas</x:t>
  </x:si>
  <x:si>
    <x:t xml:space="preserve">Sprint 4</x:t>
  </x:si>
  <x:si>
    <x:t xml:space="preserve">RF-011 / RF-012</x:t>
  </x:si>
  <x:si>
    <x:t xml:space="preserve">La búsqueda exige al menos un servicio. • Los resultados respetan filtros válidos de sede y fecha/preferencia. • No se muestran cupos bloqueados, ocupados o fuera de disponibilidad.</x:t>
  </x:si>
  <x:si>
    <x:t xml:space="preserve">feat/catalog-read-foundation / feat/availability-read-foundation / feat/web-api-integration · PR #43</x:t>
  </x:si>
  <x:si>
    <x:t xml:space="preserve">S5-T05 · PR #43</x:t>
  </x:si>
  <x:si>
    <x:t xml:space="preserve">Búsqueda funcional completada de punta a punta: institución/sede/servicio, consulta de disponibilidad y resultados reales en Web. Cierre funcional realizado en Sprint 5 sobre la base backend iniciada en Sprint 4; validación Web/API/PostgreSQL E2E 13/13 y revisión manual.</x:t>
  </x:si>
  <x:si>
    <x:t xml:space="preserve">HU-004</x:t>
  </x:si>
  <x:si>
    <x:t xml:space="preserve">Como usuario, quiero reservar un cupo disponible, para asegurar una atención en el horario seleccionado.</x:t>
  </x:si>
  <x:si>
    <x:t xml:space="preserve">Reservar una cita</x:t>
  </x:si>
  <x:si>
    <x:t xml:space="preserve">Sprint 5</x:t>
  </x:si>
  <x:si>
    <x:t xml:space="preserve">RF-013</x:t>
  </x:si>
  <x:si>
    <x:t xml:space="preserve">El backend revalida el cupo dentro de una transacción Serializable. • Una reserva exitosa crea una sola cita activa con estado AGENDADA y origen WEB interno. • La actualización condicional AVAILABLE→RESERVED usa lockVersion. • UNIQUE(citas.cupo_id) evita doble asignación. • Concurrencia real verificada: un 201, un 409 y una sola cita.</x:t>
  </x:si>
  <x:si>
    <x:t xml:space="preserve">feat/appointments-booking-foundation · commit 7a6a80e · merge a main 9b3e5a7</x:t>
  </x:si>
  <x:si>
    <x:t xml:space="preserve">PR HU-004 fusionado</x:t>
  </x:si>
  <x:si>
    <x:t xml:space="preserve">Reserva transaccional implementada y validada. POST /api/v1/appointments; estado inicial AGENDADA; origen WEB interno; transacción Serializable; AVAILABLE→RESERVED con lockVersion; UNIQUE(citas.cupo_id) como segunda defensa; historial inicial. Validación final: 88/88 unitarios, E2E checkpoint 1/1 y E2E appointments 8/8.</x:t>
  </x:si>
  <x:si>
    <x:t xml:space="preserve">HU-005</x:t>
  </x:si>
  <x:si>
    <x:t xml:space="preserve">Como usuario, quiero visualizar mis citas y su estado, para saber cuándo debo asistir y qué acciones tengo disponibles.</x:t>
  </x:si>
  <x:si>
    <x:t xml:space="preserve">Consultar mis citas</x:t>
  </x:si>
  <x:si>
    <x:t xml:space="preserve">RF-014</x:t>
  </x:si>
  <x:si>
    <x:t xml:space="preserve">El usuario sólo ve sus propias citas. • Se muestran fecha, hora, servicio, sede, profesional y estado aplicable. • Las acciones disponibles dependen del estado y permisos.</x:t>
  </x:si>
  <x:si>
    <x:t xml:space="preserve">commit 89d15a8 · GET /api/v1/appointments/me</x:t>
  </x:si>
  <x:si>
    <x:t xml:space="preserve">HU-005 creada en GitHub Projects</x:t>
  </x:si>
  <x:si>
    <x:t xml:space="preserve">Consulta autenticada de citas propias implementada. Aislamiento por AuthenticatedPrincipal, DTO público controlado, orden startsAt ASC/id ASC. Validación al cierre de HU-005: 96/96 unitarios, appointments E2E 14/14 y checkpoint 1/1.</x:t>
  </x:si>
  <x:si>
    <x:t xml:space="preserve">HU-006</x:t>
  </x:si>
  <x:si>
    <x:t xml:space="preserve">Como usuario, quiero cancelar una cita que no podré utilizar, para liberar el cupo y mantener mi agenda actualizada.</x:t>
  </x:si>
  <x:si>
    <x:t xml:space="preserve">Cancelar una cita</x:t>
  </x:si>
  <x:si>
    <x:t xml:space="preserve">RF-015</x:t>
  </x:si>
  <x:si>
    <x:t xml:space="preserve">Sólo el titular o un rol autorizado puede cancelar. • La cancelación cambia el estado de la cita y queda auditada. • Si el cupo es reutilizable, queda disponible para el proceso de reasignación.</x:t>
  </x:si>
  <x:si>
    <x:t xml:space="preserve">feat/appointments-cancellation · commit 9c62153 · PR #37</x:t>
  </x:si>
  <x:si>
    <x:t xml:space="preserve">CitaJusta #32 · PR #37</x:t>
  </x:si>
  <x:si>
    <x:t xml:space="preserve">Cancelación transaccional e idempotente implementada: AGENDADA → CANCELADA y AgendaSlot RESERVED → RELEASED, sin volver a AVAILABLE. Concurrencia validada 200/200 sin doble efecto. Validación actual: 114/114 unitarios, appointments E2E 22/22, checkpoint 1/1 y build aprobado.</x:t>
  </x:si>
  <x:si>
    <x:t xml:space="preserve">HU-007</x:t>
  </x:si>
  <x:si>
    <x:t xml:space="preserve">Lista de espera</x:t>
  </x:si>
  <x:si>
    <x:t xml:space="preserve">Como usuario, quiero ingresar a una lista de espera cuando no haya disponibilidad adecuada, para tener la posibilidad de recibir un cupo que se libere.</x:t>
  </x:si>
  <x:si>
    <x:t xml:space="preserve">Ingresar a lista de espera</x:t>
  </x:si>
  <x:si>
    <x:t xml:space="preserve">RF-018 / RF-019</x:t>
  </x:si>
  <x:si>
    <x:t xml:space="preserve">Sólo se permite una espera activa equivalente cuando así lo defina la regla de negocio. • Se registran servicio, sede/preferencias y fecha de ingreso. • El usuario puede consultar el estado de la espera.</x:t>
  </x:si>
  <x:si>
    <x:t xml:space="preserve">HU-008</x:t>
  </x:si>
  <x:si>
    <x:t xml:space="preserve">Como usuario, quiero indicar y modificar mis días, horarios y sede preferidos, para recibir solamente ofertas que pueda utilizar.</x:t>
  </x:si>
  <x:si>
    <x:t xml:space="preserve">Gestionar preferencias de espera</x:t>
  </x:si>
  <x:si>
    <x:t xml:space="preserve">RF-019 / RF-021</x:t>
  </x:si>
  <x:si>
    <x:t xml:space="preserve">Las preferencias deben usar valores válidos. • Los cambios aplican a futuras evaluaciones de compatibilidad. • El usuario puede retirarse de una espera activa y el cambio queda persistido.</x:t>
  </x:si>
  <x:si>
    <x:t xml:space="preserve">HU-009</x:t>
  </x:si>
  <x:si>
    <x:t xml:space="preserve">Ofertas</x:t>
  </x:si>
  <x:si>
    <x:t xml:space="preserve">Como usuario en lista de espera, quiero recibir una oferta cuando se libere un cupo compatible, para decidir si deseo tomarlo.</x:t>
  </x:si>
  <x:si>
    <x:t xml:space="preserve">Recibir oferta de cupo liberado</x:t>
  </x:si>
  <x:si>
    <x:t xml:space="preserve">Sprint 6</x:t>
  </x:si>
  <x:si>
    <x:t xml:space="preserve">RF-022 a RF-027 / RF-034</x:t>
  </x:si>
  <x:si>
    <x:t xml:space="preserve">La oferta sólo se genera para un candidato compatible. • La oferta posee fecha/hora de expiración persistida. • El usuario es notificado dentro de CitaJusta.</x:t>
  </x:si>
  <x:si>
    <x:t xml:space="preserve">HU-010</x:t>
  </x:si>
  <x:si>
    <x:t xml:space="preserve">Como usuario, quiero aceptar una oferta vigente, para obtener el cupo liberado de manera segura.</x:t>
  </x:si>
  <x:si>
    <x:t xml:space="preserve">Aceptar una oferta</x:t>
  </x:si>
  <x:si>
    <x:t xml:space="preserve">RF-027</x:t>
  </x:si>
  <x:si>
    <x:t xml:space="preserve">Sólo el destinatario puede aceptar la oferta. • La oferta debe estar vigente y el cupo disponible. • La aceptación se ejecuta transaccionalmente.</x:t>
  </x:si>
  <x:si>
    <x:t xml:space="preserve">HU-011</x:t>
  </x:si>
  <x:si>
    <x:t xml:space="preserve">Como usuario, quiero rechazar una oferta que no puedo utilizar, para que el sistema pueda continuar con otro candidato.</x:t>
  </x:si>
  <x:si>
    <x:t xml:space="preserve">Rechazar una oferta</x:t>
  </x:si>
  <x:si>
    <x:t xml:space="preserve">RF-028</x:t>
  </x:si>
  <x:si>
    <x:t xml:space="preserve">Sólo el destinatario puede rechazar. • La oferta cambia a estado rechazado. • El cupo puede continuar con el siguiente candidato válido.</x:t>
  </x:si>
  <x:si>
    <x:t xml:space="preserve">HU-012</x:t>
  </x:si>
  <x:si>
    <x:t xml:space="preserve">Administración</x:t>
  </x:si>
  <x:si>
    <x:t xml:space="preserve">Como administrador institucional, quiero administrar sedes y servicios, para configurar correctamente la oferta de atención de mi institución.</x:t>
  </x:si>
  <x:si>
    <x:t xml:space="preserve">Gestionar servicios y sedes</x:t>
  </x:si>
  <x:si>
    <x:t xml:space="preserve">RF-005 a RF-007</x:t>
  </x:si>
  <x:si>
    <x:t xml:space="preserve">Sólo roles autorizados pueden crear o modificar datos institucionales. • Una sede pertenece a una institución válida. • Un servicio puede activarse o desactivarse sin borrar su historial.</x:t>
  </x:si>
  <x:si>
    <x:t xml:space="preserve">HU-013</x:t>
  </x:si>
  <x:si>
    <x:t xml:space="preserve">Como administrador institucional, quiero registrar profesionales y asociarlos a servicios y sedes, para construir la agenda institucional.</x:t>
  </x:si>
  <x:si>
    <x:t xml:space="preserve">Gestionar profesionales</x:t>
  </x:si>
  <x:si>
    <x:t xml:space="preserve">RF-008</x:t>
  </x:si>
  <x:si>
    <x:t xml:space="preserve">El profesional se asocia a una institución y a servicios válidos. • No se crean asociaciones duplicadas equivalentes. • Los cambios relevantes quedan auditados.</x:t>
  </x:si>
  <x:si>
    <x:t xml:space="preserve">HU-014</x:t>
  </x:si>
  <x:si>
    <x:t xml:space="preserve">Agenda</x:t>
  </x:si>
  <x:si>
    <x:t xml:space="preserve">Como usuario autorizado, quiero configurar disponibilidad, bloqueos e indisponibilidades, para evitar que se ofrezcan horarios no atendibles.</x:t>
  </x:si>
  <x:si>
    <x:t xml:space="preserve">Configurar disponibilidad</x:t>
  </x:si>
  <x:si>
    <x:t xml:space="preserve">RF-009</x:t>
  </x:si>
  <x:si>
    <x:t xml:space="preserve">No se aceptan rangos inválidos o superpuestos cuando generen conflicto. • Los bloqueos impiden nuevas reservas en el periodo afectado. • La agenda refleja los cambios de disponibilidad.</x:t>
  </x:si>
  <x:si>
    <x:t xml:space="preserve">HU-015</x:t>
  </x:si>
  <x:si>
    <x:t xml:space="preserve">Como funcionario, quiero consultar la agenda por fecha, sede, servicio, profesional y estado, para gestionar la operación diaria.</x:t>
  </x:si>
  <x:si>
    <x:t xml:space="preserve">Consultar agenda institucional</x:t>
  </x:si>
  <x:si>
    <x:t xml:space="preserve">RF-010</x:t>
  </x:si>
  <x:si>
    <x:t xml:space="preserve">La agenda puede filtrarse por los criterios definidos. • Cada cita muestra estado y datos operativos relevantes. • El usuario sólo consulta sedes/recursos dentro de su ámbito autorizado.</x:t>
  </x:si>
  <x:si>
    <x:t xml:space="preserve">HU-016</x:t>
  </x:si>
  <x:si>
    <x:t xml:space="preserve">Reasignación</x:t>
  </x:si>
  <x:si>
    <x:t xml:space="preserve">Como funcionario autorizado, quiero visualizar el cupo liberado, candidatos evaluados, oferta y estado del flujo, para supervisar la reasignación automática.</x:t>
  </x:si>
  <x:si>
    <x:t xml:space="preserve">Supervisar una reasignación</x:t>
  </x:si>
  <x:si>
    <x:t xml:space="preserve">RF-032 / RF-033</x:t>
  </x:si>
  <x:si>
    <x:t xml:space="preserve">El flujo muestra al menos cupo, candidatos, oferta y estado actual. • La vista distingue operación automática de intervención manual autorizada. • Cada paso crítico posee trazabilidad.</x:t>
  </x:si>
  <x:si>
    <x:t xml:space="preserve">HU-017</x:t>
  </x:si>
  <x:si>
    <x:t xml:space="preserve">Operación</x:t>
  </x:si>
  <x:si>
    <x:t xml:space="preserve">Como funcionario o profesional autorizado, quiero registrar asistencia o inasistencia, para mantener el historial operativo y apoyar las reglas institucionales.</x:t>
  </x:si>
  <x:si>
    <x:t xml:space="preserve">Registrar asistencia e inasistencia</x:t>
  </x:si>
  <x:si>
    <x:t xml:space="preserve">Media</x:t>
  </x:si>
  <x:si>
    <x:t xml:space="preserve">RF-017</x:t>
  </x:si>
  <x:si>
    <x:t xml:space="preserve">Objetivo</x:t>
  </x:si>
  <x:si>
    <x:t xml:space="preserve">Sólo roles autorizados registran asistencia/inasistencia. • No se registra asistencia sobre una cita cancelada. • El cambio queda persistido y auditado.</x:t>
  </x:si>
  <x:si>
    <x:t xml:space="preserve">HU-018</x:t>
  </x:si>
  <x:si>
    <x:t xml:space="preserve">Como administrador institucional, quiero configurar parámetros permitidos de priorización, para adaptar la reasignación a las políticas de la institución.</x:t>
  </x:si>
  <x:si>
    <x:t xml:space="preserve">Configurar reglas de reasignación</x:t>
  </x:si>
  <x:si>
    <x:t xml:space="preserve">Pendiente trazabilidad RF</x:t>
  </x:si>
  <x:si>
    <x:t xml:space="preserve">Sólo administradores autorizados pueden cambiar parámetros. • Los valores deben respetar límites definidos por el sistema. • Los cambios quedan versionados o auditados y no alteran retroactivamente decisiones cerradas.</x:t>
  </x:si>
  <x:si>
    <x:t xml:space="preserve">HU-019</x:t>
  </x:si>
  <x:si>
    <x:t xml:space="preserve">Reportes</x:t>
  </x:si>
  <x:si>
    <x:t xml:space="preserve">Como administrador, quiero consultar indicadores de cancelaciones, ofertas y cupos recuperados, para evaluar el desempeño de la agenda.</x:t>
  </x:si>
  <x:si>
    <x:t xml:space="preserve">Consultar indicadores</x:t>
  </x:si>
  <x:si>
    <x:t xml:space="preserve">Sprint 7</x:t>
  </x:si>
  <x:si>
    <x:t xml:space="preserve">RF-037</x:t>
  </x:si>
  <x:si>
    <x:t xml:space="preserve">Los indicadores se calculan a partir de datos persistidos. • Los filtros respetan el ámbito institucional. • Los resultados distinguen cancelaciones, ofertas, aceptaciones, expiraciones y cupos recuperados cuando corresponda.</x:t>
  </x:si>
  <x:si>
    <x:t xml:space="preserve">HU-020</x:t>
  </x:si>
  <x:si>
    <x:t xml:space="preserve">Auditoría</x:t>
  </x:si>
  <x:si>
    <x:t xml:space="preserve">Como auditor autorizado, quiero consultar la bitácora de operaciones relevantes, para reconstruir qué ocurrió, cuándo y por quién.</x:t>
  </x:si>
  <x:si>
    <x:t xml:space="preserve">Consultar trazabilidad</x:t>
  </x:si>
  <x:si>
    <x:t xml:space="preserve">RF-036</x:t>
  </x:si>
  <x:si>
    <x:t xml:space="preserve">El auditor posee acceso de lectura sin capacidad de alterar eventos. • La bitácora permite identificar actor/sistema, fecha, acción y recurso afectado según corresponda. • Los logs no exponen secretos o credenciales.</x:t>
  </x:si>
  <x:si>
    <x:t xml:space="preserve">Indicador</x:t>
  </x:si>
  <x:si>
    <x:t xml:space="preserve">Valor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</x:si>
</x:sst>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8">
    <x:font>
      <x:sz val="11"/>
      <x:color rgb="FF000000"/>
      <x:name val="Carlito"/>
    </x:font>
    <x:font>
      <x:b/>
      <x:sz val="16"/>
      <x:color rgb="FFFFFFFF"/>
      <x:name val="Carlito"/>
    </x:font>
    <x:font>
      <x:sz val="11"/>
      <x:color theme="1"/>
      <x:name val="Carlito"/>
    </x:font>
    <x:font>
      <x:b/>
      <x:sz val="11"/>
      <x:color theme="1"/>
      <x:name val="Carlito"/>
    </x:font>
    <x:font>
      <x:b/>
      <x:sz val="11"/>
      <x:color rgb="FF1F1F1F"/>
      <x:name val="Carlito"/>
    </x:font>
    <x:font>
      <x:sz val="11"/>
      <x:color rgb="FF000000"/>
      <x:name val="Carlito"/>
    </x:font>
    <x:font>
      <x:b/>
      <x:sz val="11"/>
      <x:color rgb="FF000000"/>
      <x:name val="Carlito"/>
    </x:font>
    <x:font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theme="9"/>
      </x:patternFill>
    </x:fill>
    <x:fill>
      <x:patternFill patternType="solid">
        <x:fgColor rgb="FFF7F9FB"/>
      </x:patternFill>
    </x:fill>
    <x:fill>
      <x:patternFill patternType="solid">
        <x:fgColor rgb="FFB6D7A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theme="9" tint="0.79998"/>
      </x:patternFill>
    </x:fill>
  </x:fills>
  <x:borders count="15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</x:border>
    <x:border>
      <x:right style="thin">
        <x:color rgb="FF000000"/>
      </x:right>
    </x:border>
    <x:border>
      <x:left style="thin">
        <x:color rgb="FF000000"/>
      </x:left>
      <x:bottom style="thin">
        <x:color rgb="FF000000"/>
      </x:bottom>
    </x:border>
    <x:border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top style="thin">
        <x:color rgb="FF000000"/>
      </x:top>
    </x:border>
    <x:border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2" fillId="0" borderId="1" xfId="0" applyFont="1" applyBorder="1" applyAlignment="1">
      <x:alignment vertical="top" wrapText="1"/>
    </x:xf>
    <x:xf numFmtId="0" fontId="4" fillId="4" borderId="1" xfId="0" applyFont="1" applyFill="1" applyBorder="1" applyAlignment="1">
      <x:alignment horizontal="center" vertical="center" wrapText="1"/>
    </x:xf>
    <x:xf numFmtId="0" fontId="5" fillId="0" borderId="0" xfId="0" applyFont="1" applyAlignment="1">
      <x:alignment wrapText="1"/>
    </x:xf>
    <x:xf numFmtId="0" fontId="6" fillId="4" borderId="1" xfId="0" applyFont="1" applyFill="1" applyBorder="1" applyAlignment="1">
      <x:alignment wrapText="1"/>
    </x:xf>
    <x:xf numFmtId="0" fontId="5" fillId="0" borderId="1" xfId="0" applyFont="1" applyBorder="1" applyAlignment="1">
      <x:alignment wrapText="1"/>
    </x:xf>
    <x:xf numFmtId="164" fontId="5" fillId="0" borderId="1" xfId="0" applyNumberFormat="1" applyFont="1" applyBorder="1" applyAlignment="1">
      <x:alignment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horizontal="center" vertical="center"/>
    </x:xf>
    <x:xf numFmtId="0" fontId="0" fillId="0" borderId="0" xfId="0"/>
    <x:xf numFmtId="0" fontId="2" fillId="3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6" fillId="5" borderId="2" xfId="0" applyFont="1" applyFill="1" applyBorder="1" applyAlignment="1">
      <x:alignment wrapText="1"/>
    </x:xf>
    <x:xf numFmtId="0" fontId="7" fillId="0" borderId="3" xfId="0" applyFont="1" applyBorder="1"/>
    <x:xf numFmtId="0" fontId="0" fillId="0" borderId="4" xfId="0" applyBorder="1" applyAlignment="1">
      <x:alignment vertical="top" wrapText="1"/>
    </x:xf>
    <x:xf numFmtId="0" fontId="7" fillId="0" borderId="5" xfId="0" applyFont="1" applyBorder="1" applyAlignment="1">
      <x:alignment wrapText="1"/>
    </x:xf>
    <x:xf numFmtId="0" fontId="7" fillId="0" borderId="6" xfId="0" applyFont="1" applyBorder="1" applyAlignment="1">
      <x:alignment wrapText="1"/>
    </x:xf>
    <x:xf numFmtId="0" fontId="7" fillId="0" borderId="7" xfId="0" applyFont="1" applyBorder="1" applyAlignment="1">
      <x:alignment wrapText="1"/>
    </x:xf>
    <x:xf numFmtId="0" fontId="7" fillId="0" borderId="8" xfId="0" applyFont="1" applyBorder="1"/>
    <x:xf numFmtId="0" fontId="7" fillId="0" borderId="9" xfId="0" applyFont="1" applyBorder="1"/>
    <x:xf numFmtId="0" fontId="6" fillId="6" borderId="2" xfId="0" applyFont="1" applyFill="1" applyBorder="1"/>
    <x:xf numFmtId="0" fontId="7" fillId="0" borderId="10" xfId="0" applyFont="1" applyBorder="1"/>
    <x:xf numFmtId="0" fontId="7" fillId="0" borderId="11" xfId="0" applyFont="1" applyBorder="1" applyAlignment="1">
      <x:alignment wrapText="1"/>
    </x:xf>
    <x:xf numFmtId="0" fontId="7" fillId="0" borderId="6" xfId="0" applyFont="1" applyBorder="1"/>
    <x:xf numFmtId="0" fontId="7" fillId="0" borderId="7" xfId="0" applyFont="1" applyBorder="1"/>
    <x:xf numFmtId="0" fontId="7" fillId="0" borderId="12" xfId="0" applyFont="1" applyBorder="1"/>
    <x:xf numFmtId="0" fontId="2" fillId="0" borderId="14" xfId="0" applyFont="1" applyBorder="1" applyAlignment="1">
      <x:alignment vertical="top" wrapText="1"/>
    </x:xf>
    <x:xf numFmtId="0" fontId="3" fillId="7" borderId="13" xfId="0" applyFont="1" applyFill="1" applyBorder="1" applyAlignment="1">
      <x:alignment horizontal="center" vertical="center" wrapText="1"/>
    </x:xf>
    <x:xf numFmtId="0" fontId="2" fillId="5" borderId="13" xfId="0" applyFont="1" applyFill="1" applyBorder="1" applyAlignment="1">
      <x:alignment horizontal="center" vertical="center" wrapText="1"/>
    </x:xf>
    <x:xf numFmtId="0" fontId="0" fillId="0" borderId="13" xfId="0" applyBorder="1" applyAlignment="1">
      <x:alignment horizontal="center" vertical="center"/>
    </x:xf>
    <x:xf numFmtId="0" fontId="0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wrapText="1"/>
    </x:xf>
    <x:xf numFmtId="0" fontId="7" fillId="0" borderId="3" xfId="0" applyNumberFormat="1" applyFont="1" applyFill="1" applyBorder="1"/>
    <x:xf numFmtId="0" fontId="0" fillId="0" borderId="4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/>
    <x:xf numFmtId="0" fontId="7" fillId="0" borderId="9" xfId="0" applyNumberFormat="1" applyFont="1" applyFill="1" applyBorder="1"/>
    <x:xf numFmtId="0" fontId="6" fillId="6" borderId="2" xfId="0" applyNumberFormat="1" applyFont="1" applyFill="1" applyBorder="1"/>
    <x:xf numFmtId="0" fontId="7" fillId="0" borderId="10" xfId="0" applyNumberFormat="1" applyFont="1" applyFill="1" applyBorder="1"/>
    <x:xf numFmtId="0" fontId="7" fillId="0" borderId="11" xfId="0" applyNumberFormat="1" applyFont="1" applyFill="1" applyBorder="1" applyAlignment="1">
      <x:alignment wrapText="1"/>
    </x:xf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12" xfId="0" applyNumberFormat="1" applyFont="1" applyFill="1" applyBorder="1"/>
    <x:xf numFmtId="0" fontId="2" fillId="0" borderId="14" xfId="0" applyNumberFormat="1" applyFont="1" applyFill="1" applyBorder="1" applyAlignment="1">
      <x:alignment vertical="top" wrapText="1"/>
    </x:xf>
    <x:xf numFmtId="0" fontId="3" fillId="7" borderId="13" xfId="0" applyNumberFormat="1" applyFont="1" applyFill="1" applyBorder="1" applyAlignment="1">
      <x:alignment horizontal="center" vertical="center" wrapText="1"/>
    </x:xf>
    <x:xf numFmtId="0" fontId="2" fillId="5" borderId="13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">
    <x:dxf>
      <x:fill>
        <x:patternFill>
          <x:bgColor indexed="64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bottom style="thin">
          <x:color indexed="64"/>
        </x:bottom>
      </x:border>
    </x:dxf>
    <x:dxf>
      <x:fill>
        <x:patternFill>
          <x:bgColor rgb="FFF2F2F2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6d8646500d43d0" /><Relationship Type="http://schemas.openxmlformats.org/officeDocument/2006/relationships/theme" Target="/xl/theme/theme1.xml" Id="Rccc5a3e9129c4532" /><Relationship Type="http://schemas.openxmlformats.org/officeDocument/2006/relationships/sharedStrings" Target="/xl/sharedStrings.xml" Id="Rcb1bba215ff64723" /><Relationship Type="http://schemas.openxmlformats.org/officeDocument/2006/relationships/worksheet" Target="/xl/worksheets/sheet1.xml" Id="R92565426a82e4bf9" /><Relationship Type="http://schemas.openxmlformats.org/officeDocument/2006/relationships/worksheet" Target="/xl/worksheets/sheet2.xml" Id="Rc72a9f39897348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2214246ca274b20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solidFill>
                  <a:srgbClr val="757575"/>
                </a:solidFill>
                <a:latin typeface="+mn-lt"/>
                <a:ea typeface="+mn-lt"/>
                <a:cs typeface="+mn-lt"/>
              </a:rPr>
              <a:t>Historias por estado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Historias</c:v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</a:ln>
          </c:spPr>
          <c:cat>
            <c:strLit>
              <c:ptCount val="0"/>
            </c:strLit>
          </c:cat>
          <c:val>
            <c:numRef>
              <c:f>Resumen!$E$4:$E$6</c:f>
              <c:numCache>
                <c:formatCode>General</c:formatCode>
                <c:ptCount val="3"/>
                <c:pt idx="0">
                  <c:v>6</c:v>
                </c:pt>
                <c:pt idx="1">
                  <c:v>4</c:v>
                </c:pt>
                <c:pt idx="2">
                  <c:v>10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1784184"/>
        <c:axId val="2056864122"/>
      </c:barChart>
      <c:catAx>
        <c:axId val="2041784184"/>
        <c:scaling>
          <c:orientation val="minMax"/>
        </c:scaling>
        <c:delete val="0"/>
        <c:axPos val="b"/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056864122"/>
        <c:crosses val="autoZero"/>
        <c:lblAlgn val="ctr"/>
        <c:lblOffset val="100"/>
        <c:noMultiLvlLbl val="0"/>
      </c:catAx>
      <c:valAx>
        <c:axId val="2056864122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041784184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7</xdr:col>
      <xdr:colOff>161925</xdr:colOff>
      <xdr:row>3</xdr:row>
      <xdr:rowOff>9525</xdr:rowOff>
    </xdr:from>
    <xdr:ext cx="8258175" cy="3343275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214246ca274b20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Product_backlog" displayName="Product_backlog" ref="A4:N24" headerRowBorderDxfId="1">
  <x:tableColumns count="14">
    <x:tableColumn id="1" name="ID"/>
    <x:tableColumn id="2" name="Épica"/>
    <x:tableColumn id="3" name="Historia de Usuario"/>
    <x:tableColumn id="4" name="Alias"/>
    <x:tableColumn id="5" name="Estado"/>
    <x:tableColumn id="6" name="Story Points"/>
    <x:tableColumn id="7" name="Sprint"/>
    <x:tableColumn id="8" name="Prioridad"/>
    <x:tableColumn id="9" name="RF"/>
    <x:tableColumn id="10" name="Alcance"/>
    <x:tableColumn id="11" name="Criterios de aceptación (resumen)"/>
    <x:tableColumn id="12" name="Evidencia / rama"/>
    <x:tableColumn id="13" name="Issue GitHub"/>
    <x:tableColumn id="14" name="Comentarios"/>
  </x:tableColumns>
  <x:tableStyleInfo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53b8e3fbc0407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8509467ac3443b6" /></Relationships>
</file>

<file path=xl/worksheets/sheet1.xml><?xml version="1.0" encoding="utf-8"?>
<x:worksheet xmlns:x="http://schemas.openxmlformats.org/spreadsheetml/2006/main">
  <x:sheetFormatPr baseColWidth="10" defaultColWidth="12.625" defaultRowHeight="14.25"/>
  <x:cols>
    <x:col min="1" max="1" width="12" customWidth="1"/>
    <x:col min="2" max="2" width="18" customWidth="1"/>
    <x:col min="3" max="3" width="46" customWidth="1"/>
    <x:col min="4" max="4" width="26" customWidth="1"/>
    <x:col min="5" max="5" width="15" customWidth="1"/>
    <x:col min="6" max="6" width="22.125" customWidth="1"/>
    <x:col min="7" max="7" width="12" customWidth="1"/>
    <x:col min="8" max="8" width="15.75" customWidth="1"/>
    <x:col min="9" max="9" width="20" customWidth="1"/>
    <x:col min="10" max="10" width="12" customWidth="1"/>
    <x:col min="11" max="11" width="52" customWidth="1"/>
    <x:col min="12" max="12" width="38" customWidth="1"/>
    <x:col min="13" max="13" width="22" customWidth="1"/>
    <x:col min="14" max="14" width="44" customWidth="1"/>
  </x:cols>
  <x:sheetData>
    <x:row r="1" ht="27.75" customHeight="1">
      <x:c r="A1" s="8" t="s">
        <x:v>0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>
      <x:c r="A2" s="10" t="str">
        <x:v>Versión 1.6 · Actualización 21-09-2026 · Backend HU-001 a HU-020 completado · HU-021 a HU-024 Done · Sprint 6 cerrado con expiración automática y notificaciones internas.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 ht="33.75" customHeight="1">
      <x:c r="A4" s="27" t="s">
        <x:v>1</x:v>
      </x:c>
      <x:c r="B4" s="27" t="s">
        <x:v>2</x:v>
      </x:c>
      <x:c r="C4" s="27" t="s">
        <x:v>3</x:v>
      </x:c>
      <x:c r="D4" s="27" t="s">
        <x:v>4</x:v>
      </x:c>
      <x:c r="E4" s="27" t="s">
        <x:v>5</x:v>
      </x:c>
      <x:c r="F4" s="27" t="s">
        <x:v>6</x:v>
      </x:c>
      <x:c r="G4" s="27" t="s">
        <x:v>7</x:v>
      </x:c>
      <x:c r="H4" s="27" t="s">
        <x:v>8</x:v>
      </x:c>
      <x:c r="I4" s="27" t="s">
        <x:v>9</x:v>
      </x:c>
      <x:c r="J4" s="27" t="s">
        <x:v>10</x:v>
      </x:c>
      <x:c r="K4" s="27" t="s">
        <x:v>11</x:v>
      </x:c>
      <x:c r="L4" s="27" t="s">
        <x:v>12</x:v>
      </x:c>
      <x:c r="M4" s="27" t="s">
        <x:v>13</x:v>
      </x:c>
      <x:c r="N4" s="27" t="s">
        <x:v>14</x:v>
      </x:c>
    </x:row>
    <x:row r="5" ht="43.5" customHeight="1">
      <x:c r="A5" s="26" t="s">
        <x:v>15</x:v>
      </x:c>
      <x:c r="B5" s="26" t="s">
        <x:v>16</x:v>
      </x:c>
      <x:c r="C5" s="26" t="s">
        <x:v>17</x:v>
      </x:c>
      <x:c r="D5" s="26" t="s">
        <x:v>18</x:v>
      </x:c>
      <x:c r="E5" s="26" t="s">
        <x:v>19</x:v>
      </x:c>
      <x:c r="F5" s="26">
        <x:v>3</x:v>
      </x:c>
      <x:c r="G5" s="26" t="s">
        <x:v>20</x:v>
      </x:c>
      <x:c r="H5" s="26" t="s">
        <x:v>21</x:v>
      </x:c>
      <x:c r="I5" s="26" t="s">
        <x:v>22</x:v>
      </x:c>
      <x:c r="J5" s="26" t="s">
        <x:v>23</x:v>
      </x:c>
      <x:c r="K5" s="26" t="s">
        <x:v>24</x:v>
      </x:c>
      <x:c r="L5" s="26" t="s">
        <x:v>25</x:v>
      </x:c>
      <x:c r="M5" s="26" t="s">
        <x:v>26</x:v>
      </x:c>
      <x:c r="N5" s="26" t="s">
        <x:v>27</x:v>
      </x:c>
    </x:row>
    <x:row r="6" ht="43.5" customHeight="1">
      <x:c r="A6" s="1" t="s">
        <x:v>28</x:v>
      </x:c>
      <x:c r="B6" s="1" t="s">
        <x:v>16</x:v>
      </x:c>
      <x:c r="C6" s="1" t="s">
        <x:v>29</x:v>
      </x:c>
      <x:c r="D6" s="1" t="s">
        <x:v>30</x:v>
      </x:c>
      <x:c r="E6" s="1" t="s">
        <x:v>19</x:v>
      </x:c>
      <x:c r="F6" s="1">
        <x:v>3</x:v>
      </x:c>
      <x:c r="G6" s="1" t="s">
        <x:v>20</x:v>
      </x:c>
      <x:c r="H6" s="1" t="s">
        <x:v>31</x:v>
      </x:c>
      <x:c r="I6" s="1" t="s">
        <x:v>32</x:v>
      </x:c>
      <x:c r="J6" s="1" t="s">
        <x:v>23</x:v>
      </x:c>
      <x:c r="K6" s="1" t="s">
        <x:v>33</x:v>
      </x:c>
      <x:c r="L6" s="1" t="s">
        <x:v>34</x:v>
      </x:c>
      <x:c r="M6" s="1" t="s">
        <x:v>26</x:v>
      </x:c>
      <x:c r="N6" s="1" t="s">
        <x:v>35</x:v>
      </x:c>
    </x:row>
    <x:row r="7" ht="43.5" customHeight="1">
      <x:c r="A7" s="1" t="s">
        <x:v>36</x:v>
      </x:c>
      <x:c r="B7" s="1" t="s">
        <x:v>37</x:v>
      </x:c>
      <x:c r="C7" s="1" t="s">
        <x:v>38</x:v>
      </x:c>
      <x:c r="D7" s="1" t="s">
        <x:v>39</x:v>
      </x:c>
      <x:c r="E7" s="1" t="s">
        <x:v>19</x:v>
      </x:c>
      <x:c r="F7" s="1">
        <x:v>5</x:v>
      </x:c>
      <x:c r="G7" s="1" t="s">
        <x:v>40</x:v>
      </x:c>
      <x:c r="H7" s="1" t="s">
        <x:v>31</x:v>
      </x:c>
      <x:c r="I7" s="1" t="s">
        <x:v>41</x:v>
      </x:c>
      <x:c r="J7" s="1" t="s">
        <x:v>23</x:v>
      </x:c>
      <x:c r="K7" s="1" t="s">
        <x:v>42</x:v>
      </x:c>
      <x:c r="L7" s="1" t="s">
        <x:v>43</x:v>
      </x:c>
      <x:c r="M7" s="1" t="s">
        <x:v>44</x:v>
      </x:c>
      <x:c r="N7" s="1" t="s">
        <x:v>45</x:v>
      </x:c>
    </x:row>
    <x:row r="8" ht="43.5" customHeight="1">
      <x:c r="A8" s="1" t="s">
        <x:v>46</x:v>
      </x:c>
      <x:c r="B8" s="1" t="s">
        <x:v>37</x:v>
      </x:c>
      <x:c r="C8" s="1" t="s">
        <x:v>47</x:v>
      </x:c>
      <x:c r="D8" s="1" t="s">
        <x:v>48</x:v>
      </x:c>
      <x:c r="E8" s="1" t="s">
        <x:v>19</x:v>
      </x:c>
      <x:c r="F8" s="1">
        <x:v>5</x:v>
      </x:c>
      <x:c r="G8" s="1" t="s">
        <x:v>49</x:v>
      </x:c>
      <x:c r="H8" s="1" t="s">
        <x:v>31</x:v>
      </x:c>
      <x:c r="I8" s="1" t="s">
        <x:v>50</x:v>
      </x:c>
      <x:c r="J8" s="1" t="s">
        <x:v>23</x:v>
      </x:c>
      <x:c r="K8" s="1" t="s">
        <x:v>51</x:v>
      </x:c>
      <x:c r="L8" s="1" t="s">
        <x:v>52</x:v>
      </x:c>
      <x:c r="M8" s="1" t="s">
        <x:v>53</x:v>
      </x:c>
      <x:c r="N8" s="1" t="s">
        <x:v>54</x:v>
      </x:c>
    </x:row>
    <x:row r="9" ht="43.5" customHeight="1">
      <x:c r="A9" s="1" t="s">
        <x:v>55</x:v>
      </x:c>
      <x:c r="B9" s="1" t="s">
        <x:v>37</x:v>
      </x:c>
      <x:c r="C9" s="1" t="s">
        <x:v>56</x:v>
      </x:c>
      <x:c r="D9" s="1" t="s">
        <x:v>57</x:v>
      </x:c>
      <x:c r="E9" s="1" t="s">
        <x:v>19</x:v>
      </x:c>
      <x:c r="F9" s="1">
        <x:v>3</x:v>
      </x:c>
      <x:c r="G9" s="1" t="s">
        <x:v>49</x:v>
      </x:c>
      <x:c r="H9" s="1" t="s">
        <x:v>21</x:v>
      </x:c>
      <x:c r="I9" s="1" t="s">
        <x:v>58</x:v>
      </x:c>
      <x:c r="J9" s="1" t="s">
        <x:v>23</x:v>
      </x:c>
      <x:c r="K9" s="1" t="s">
        <x:v>59</x:v>
      </x:c>
      <x:c r="L9" s="1" t="s">
        <x:v>60</x:v>
      </x:c>
      <x:c r="M9" s="1" t="s">
        <x:v>61</x:v>
      </x:c>
      <x:c r="N9" s="1" t="s">
        <x:v>62</x:v>
      </x:c>
    </x:row>
    <x:row r="10" ht="43.5" customHeight="1">
      <x:c r="A10" s="1" t="s">
        <x:v>63</x:v>
      </x:c>
      <x:c r="B10" s="1" t="s">
        <x:v>37</x:v>
      </x:c>
      <x:c r="C10" s="1" t="s">
        <x:v>64</x:v>
      </x:c>
      <x:c r="D10" s="1" t="s">
        <x:v>65</x:v>
      </x:c>
      <x:c r="E10" s="1" t="s">
        <x:v>19</x:v>
      </x:c>
      <x:c r="F10" s="1">
        <x:v>5</x:v>
      </x:c>
      <x:c r="G10" s="1" t="s">
        <x:v>49</x:v>
      </x:c>
      <x:c r="H10" s="1" t="s">
        <x:v>31</x:v>
      </x:c>
      <x:c r="I10" s="1" t="s">
        <x:v>66</x:v>
      </x:c>
      <x:c r="J10" s="1" t="s">
        <x:v>23</x:v>
      </x:c>
      <x:c r="K10" s="1" t="s">
        <x:v>67</x:v>
      </x:c>
      <x:c r="L10" s="1" t="s">
        <x:v>68</x:v>
      </x:c>
      <x:c r="M10" s="1" t="s">
        <x:v>69</x:v>
      </x:c>
      <x:c r="N10" s="1" t="s">
        <x:v>70</x:v>
      </x:c>
    </x:row>
    <x:row r="11" ht="43.5" customHeight="1">
      <x:c r="A11" s="1" t="s">
        <x:v>71</x:v>
      </x:c>
      <x:c r="B11" s="1" t="s">
        <x:v>72</x:v>
      </x:c>
      <x:c r="C11" s="1" t="s">
        <x:v>73</x:v>
      </x:c>
      <x:c r="D11" s="1" t="s">
        <x:v>74</x:v>
      </x:c>
      <x:c r="E11" s="1" t="str">
        <x:v>Done</x:v>
      </x:c>
      <x:c r="F11" s="1">
        <x:v>5</x:v>
      </x:c>
      <x:c r="G11" s="1" t="s">
        <x:v>49</x:v>
      </x:c>
      <x:c r="H11" s="1" t="s">
        <x:v>31</x:v>
      </x:c>
      <x:c r="I11" s="1" t="s">
        <x:v>75</x:v>
      </x:c>
      <x:c r="J11" s="1" t="s">
        <x:v>23</x:v>
      </x:c>
      <x:c r="K11" s="1" t="s">
        <x:v>76</x:v>
      </x:c>
      <x:c r="L11" s="1" t="str">
        <x:v>feat/waitlist-entry</x:v>
      </x:c>
      <x:c r="M11" s="1" t="str">
        <x:v>HU-007 · Done</x:v>
      </x:c>
      <x:c r="N11" s="1" t="str">
        <x:v>Alta y consulta de lista de espera implementadas y validadas contra PostgreSQL real.</x:v>
      </x:c>
    </x:row>
    <x:row r="12" ht="43.5" customHeight="1">
      <x:c r="A12" s="1" t="s">
        <x:v>77</x:v>
      </x:c>
      <x:c r="B12" s="1" t="s">
        <x:v>72</x:v>
      </x:c>
      <x:c r="C12" s="1" t="s">
        <x:v>78</x:v>
      </x:c>
      <x:c r="D12" s="1" t="s">
        <x:v>79</x:v>
      </x:c>
      <x:c r="E12" s="1" t="str">
        <x:v>Done</x:v>
      </x:c>
      <x:c r="F12" s="1">
        <x:v>5</x:v>
      </x:c>
      <x:c r="G12" s="1" t="s">
        <x:v>49</x:v>
      </x:c>
      <x:c r="H12" s="1" t="s">
        <x:v>21</x:v>
      </x:c>
      <x:c r="I12" s="1" t="s">
        <x:v>80</x:v>
      </x:c>
      <x:c r="J12" s="1" t="s">
        <x:v>23</x:v>
      </x:c>
      <x:c r="K12" s="1" t="s">
        <x:v>81</x:v>
      </x:c>
      <x:c r="L12" s="1" t="str">
        <x:v>feat/waitlist-preferences</x:v>
      </x:c>
      <x:c r="M12" s="1" t="str">
        <x:v>HU-008 · Done</x:v>
      </x:c>
      <x:c r="N12" s="1" t="str">
        <x:v>Preferencias y retiro implementados; E2E HU-007/HU-008 real 24/24 PASS.</x:v>
      </x:c>
    </x:row>
    <x:row r="13" ht="43.5" customHeight="1">
      <x:c r="A13" s="1" t="s">
        <x:v>82</x:v>
      </x:c>
      <x:c r="B13" s="1" t="s">
        <x:v>83</x:v>
      </x:c>
      <x:c r="C13" s="1" t="s">
        <x:v>84</x:v>
      </x:c>
      <x:c r="D13" s="1" t="s">
        <x:v>85</x:v>
      </x:c>
      <x:c r="E13" s="1" t="str">
        <x:v>Done</x:v>
      </x:c>
      <x:c r="F13" s="1">
        <x:v>8</x:v>
      </x:c>
      <x:c r="G13" s="1" t="s">
        <x:v>86</x:v>
      </x:c>
      <x:c r="H13" s="1" t="s">
        <x:v>31</x:v>
      </x:c>
      <x:c r="I13" s="1" t="s">
        <x:v>87</x:v>
      </x:c>
      <x:c r="J13" s="1" t="s">
        <x:v>23</x:v>
      </x:c>
      <x:c r="K13" s="1" t="s">
        <x:v>88</x:v>
      </x:c>
      <x:c r="L13" s="1" t="str">
        <x:v>feat/reassignment-offers</x:v>
      </x:c>
      <x:c r="M13" s="1" t="str">
        <x:v>HU-009 · Done</x:v>
      </x:c>
      <x:c r="N13" s="1" t="str">
        <x:v>Generación de oferta, ranking/snapshot y TTL implementados en backend.</x:v>
      </x:c>
    </x:row>
    <x:row r="14" ht="43.5" customHeight="1">
      <x:c r="A14" s="1" t="s">
        <x:v>89</x:v>
      </x:c>
      <x:c r="B14" s="1" t="s">
        <x:v>83</x:v>
      </x:c>
      <x:c r="C14" s="1" t="s">
        <x:v>90</x:v>
      </x:c>
      <x:c r="D14" s="1" t="s">
        <x:v>91</x:v>
      </x:c>
      <x:c r="E14" s="1" t="str">
        <x:v>Done</x:v>
      </x:c>
      <x:c r="F14" s="1">
        <x:v>8</x:v>
      </x:c>
      <x:c r="G14" s="1" t="s">
        <x:v>86</x:v>
      </x:c>
      <x:c r="H14" s="1" t="s">
        <x:v>31</x:v>
      </x:c>
      <x:c r="I14" s="1" t="s">
        <x:v>92</x:v>
      </x:c>
      <x:c r="J14" s="1" t="s">
        <x:v>23</x:v>
      </x:c>
      <x:c r="K14" s="1" t="s">
        <x:v>93</x:v>
      </x:c>
      <x:c r="L14" s="1" t="str">
        <x:v>feat/accept-reassignment-offer</x:v>
      </x:c>
      <x:c r="M14" s="1" t="str">
        <x:v>HU-010 · Done</x:v>
      </x:c>
      <x:c r="N14" s="1" t="str">
        <x:v>Aceptación transaccional e idempotente implementada con transferencia segura de la cita.</x:v>
      </x:c>
    </x:row>
    <x:row r="15" ht="43.5" customHeight="1">
      <x:c r="A15" s="1" t="s">
        <x:v>94</x:v>
      </x:c>
      <x:c r="B15" s="1" t="s">
        <x:v>83</x:v>
      </x:c>
      <x:c r="C15" s="1" t="s">
        <x:v>95</x:v>
      </x:c>
      <x:c r="D15" s="1" t="s">
        <x:v>96</x:v>
      </x:c>
      <x:c r="E15" s="1" t="str">
        <x:v>Done</x:v>
      </x:c>
      <x:c r="F15" s="1">
        <x:v>3</x:v>
      </x:c>
      <x:c r="G15" s="1" t="s">
        <x:v>86</x:v>
      </x:c>
      <x:c r="H15" s="1" t="s">
        <x:v>21</x:v>
      </x:c>
      <x:c r="I15" s="1" t="s">
        <x:v>97</x:v>
      </x:c>
      <x:c r="J15" s="1" t="s">
        <x:v>23</x:v>
      </x:c>
      <x:c r="K15" s="1" t="s">
        <x:v>98</x:v>
      </x:c>
      <x:c r="L15" s="1" t="str">
        <x:v>feat/reject-reassignment-offer</x:v>
      </x:c>
      <x:c r="M15" s="1" t="str">
        <x:v>HU-011 · Done</x:v>
      </x:c>
      <x:c r="N15" s="1" t="str">
        <x:v>Rechazo y continuidad/exhaustión del flujo implementados.</x:v>
      </x:c>
    </x:row>
    <x:row r="16" ht="43.5" customHeight="1">
      <x:c r="A16" s="1" t="s">
        <x:v>99</x:v>
      </x:c>
      <x:c r="B16" s="1" t="s">
        <x:v>100</x:v>
      </x:c>
      <x:c r="C16" s="1" t="s">
        <x:v>101</x:v>
      </x:c>
      <x:c r="D16" s="1" t="s">
        <x:v>102</x:v>
      </x:c>
      <x:c r="E16" s="1" t="str">
        <x:v>Done</x:v>
      </x:c>
      <x:c r="F16" s="1">
        <x:v>5</x:v>
      </x:c>
      <x:c r="G16" s="1" t="s">
        <x:v>40</x:v>
      </x:c>
      <x:c r="H16" s="1" t="s">
        <x:v>21</x:v>
      </x:c>
      <x:c r="I16" s="1" t="s">
        <x:v>103</x:v>
      </x:c>
      <x:c r="J16" s="1" t="s">
        <x:v>23</x:v>
      </x:c>
      <x:c r="K16" s="1" t="s">
        <x:v>104</x:v>
      </x:c>
      <x:c r="L16" s="1" t="str">
        <x:v>feat/catalog-administration</x:v>
      </x:c>
      <x:c r="M16" s="1" t="str">
        <x:v>HU-012 · Done</x:v>
      </x:c>
      <x:c r="N16" s="1" t="str">
        <x:v>Administración de sedes/servicios implementada con permisos y activación/desactivación.</x:v>
      </x:c>
    </x:row>
    <x:row r="17" ht="43.5" customHeight="1">
      <x:c r="A17" s="1" t="s">
        <x:v>105</x:v>
      </x:c>
      <x:c r="B17" s="1" t="s">
        <x:v>100</x:v>
      </x:c>
      <x:c r="C17" s="1" t="s">
        <x:v>106</x:v>
      </x:c>
      <x:c r="D17" s="1" t="s">
        <x:v>107</x:v>
      </x:c>
      <x:c r="E17" s="1" t="str">
        <x:v>Done</x:v>
      </x:c>
      <x:c r="F17" s="1">
        <x:v>5</x:v>
      </x:c>
      <x:c r="G17" s="1" t="s">
        <x:v>40</x:v>
      </x:c>
      <x:c r="H17" s="1" t="s">
        <x:v>21</x:v>
      </x:c>
      <x:c r="I17" s="1" t="s">
        <x:v>108</x:v>
      </x:c>
      <x:c r="J17" s="1" t="s">
        <x:v>23</x:v>
      </x:c>
      <x:c r="K17" s="1" t="s">
        <x:v>109</x:v>
      </x:c>
      <x:c r="L17" s="1" t="str">
        <x:v>feat/professional-administration</x:v>
      </x:c>
      <x:c r="M17" s="1" t="str">
        <x:v>HU-013 · Done</x:v>
      </x:c>
      <x:c r="N17" s="1" t="str">
        <x:v>Administración de profesionales y asociaciones implementada.</x:v>
      </x:c>
    </x:row>
    <x:row r="18" ht="43.5" customHeight="1">
      <x:c r="A18" s="1" t="s">
        <x:v>110</x:v>
      </x:c>
      <x:c r="B18" s="1" t="s">
        <x:v>111</x:v>
      </x:c>
      <x:c r="C18" s="1" t="s">
        <x:v>112</x:v>
      </x:c>
      <x:c r="D18" s="1" t="s">
        <x:v>113</x:v>
      </x:c>
      <x:c r="E18" s="1" t="str">
        <x:v>Done</x:v>
      </x:c>
      <x:c r="F18" s="1">
        <x:v>8</x:v>
      </x:c>
      <x:c r="G18" s="1" t="s">
        <x:v>40</x:v>
      </x:c>
      <x:c r="H18" s="1" t="s">
        <x:v>31</x:v>
      </x:c>
      <x:c r="I18" s="1" t="s">
        <x:v>114</x:v>
      </x:c>
      <x:c r="J18" s="1" t="s">
        <x:v>23</x:v>
      </x:c>
      <x:c r="K18" s="1" t="s">
        <x:v>115</x:v>
      </x:c>
      <x:c r="L18" s="1" t="str">
        <x:v>feat/availability-administration</x:v>
      </x:c>
      <x:c r="M18" s="1" t="str">
        <x:v>HU-014 · Done</x:v>
      </x:c>
      <x:c r="N18" s="1" t="str">
        <x:v>Disponibilidad, materialización de cupos y bloqueos implementados.</x:v>
      </x:c>
    </x:row>
    <x:row r="19" ht="43.5" customHeight="1">
      <x:c r="A19" s="1" t="s">
        <x:v>116</x:v>
      </x:c>
      <x:c r="B19" s="1" t="s">
        <x:v>111</x:v>
      </x:c>
      <x:c r="C19" s="1" t="s">
        <x:v>117</x:v>
      </x:c>
      <x:c r="D19" s="1" t="s">
        <x:v>118</x:v>
      </x:c>
      <x:c r="E19" s="1" t="str">
        <x:v>Done</x:v>
      </x:c>
      <x:c r="F19" s="1">
        <x:v>5</x:v>
      </x:c>
      <x:c r="G19" s="1" t="s">
        <x:v>40</x:v>
      </x:c>
      <x:c r="H19" s="1" t="s">
        <x:v>21</x:v>
      </x:c>
      <x:c r="I19" s="1" t="s">
        <x:v>119</x:v>
      </x:c>
      <x:c r="J19" s="1" t="s">
        <x:v>23</x:v>
      </x:c>
      <x:c r="K19" s="1" t="s">
        <x:v>120</x:v>
      </x:c>
      <x:c r="L19" s="1" t="str">
        <x:v>feat/institutional-agenda</x:v>
      </x:c>
      <x:c r="M19" s="1" t="str">
        <x:v>HU-015 · Done</x:v>
      </x:c>
      <x:c r="N19" s="1" t="str">
        <x:v>Agenda institucional con filtros y trazabilidad de estados implementada.</x:v>
      </x:c>
    </x:row>
    <x:row r="20" ht="43.5" customHeight="1">
      <x:c r="A20" s="1" t="s">
        <x:v>121</x:v>
      </x:c>
      <x:c r="B20" s="1" t="s">
        <x:v>122</x:v>
      </x:c>
      <x:c r="C20" s="1" t="s">
        <x:v>123</x:v>
      </x:c>
      <x:c r="D20" s="1" t="s">
        <x:v>124</x:v>
      </x:c>
      <x:c r="E20" s="1" t="str">
        <x:v>Done</x:v>
      </x:c>
      <x:c r="F20" s="1">
        <x:v>8</x:v>
      </x:c>
      <x:c r="G20" s="1" t="s">
        <x:v>86</x:v>
      </x:c>
      <x:c r="H20" s="1" t="s">
        <x:v>31</x:v>
      </x:c>
      <x:c r="I20" s="1" t="s">
        <x:v>125</x:v>
      </x:c>
      <x:c r="J20" s="1" t="s">
        <x:v>23</x:v>
      </x:c>
      <x:c r="K20" s="1" t="s">
        <x:v>126</x:v>
      </x:c>
      <x:c r="L20" s="1" t="str">
        <x:v>feat/reassignment-supervision</x:v>
      </x:c>
      <x:c r="M20" s="1" t="str">
        <x:v>HU-016 · Done</x:v>
      </x:c>
      <x:c r="N20" s="1" t="str">
        <x:v>Consulta read-only de reasignación con trazabilidad y política implementada.</x:v>
      </x:c>
    </x:row>
    <x:row r="21" ht="43.5" customHeight="1">
      <x:c r="A21" s="1" t="s">
        <x:v>127</x:v>
      </x:c>
      <x:c r="B21" s="1" t="s">
        <x:v>128</x:v>
      </x:c>
      <x:c r="C21" s="1" t="s">
        <x:v>129</x:v>
      </x:c>
      <x:c r="D21" s="1" t="s">
        <x:v>130</x:v>
      </x:c>
      <x:c r="E21" s="1" t="str">
        <x:v>Done</x:v>
      </x:c>
      <x:c r="F21" s="1">
        <x:v>3</x:v>
      </x:c>
      <x:c r="G21" s="1" t="s">
        <x:v>49</x:v>
      </x:c>
      <x:c r="H21" s="1" t="s">
        <x:v>131</x:v>
      </x:c>
      <x:c r="I21" s="1" t="s">
        <x:v>132</x:v>
      </x:c>
      <x:c r="J21" s="1" t="s">
        <x:v>133</x:v>
      </x:c>
      <x:c r="K21" s="1" t="s">
        <x:v>134</x:v>
      </x:c>
      <x:c r="L21" s="1" t="str">
        <x:v>feat/appointment-attendance</x:v>
      </x:c>
      <x:c r="M21" s="1" t="str">
        <x:v>HU-017 · Done</x:v>
      </x:c>
      <x:c r="N21" s="1" t="str">
        <x:v>Registro de ATENDIDA/INASISTENCIA implementado con control de transiciones.</x:v>
      </x:c>
    </x:row>
    <x:row r="22" ht="43.5" customHeight="1">
      <x:c r="A22" s="1" t="s">
        <x:v>135</x:v>
      </x:c>
      <x:c r="B22" s="1" t="s">
        <x:v>100</x:v>
      </x:c>
      <x:c r="C22" s="1" t="s">
        <x:v>136</x:v>
      </x:c>
      <x:c r="D22" s="1" t="s">
        <x:v>137</x:v>
      </x:c>
      <x:c r="E22" s="1" t="str">
        <x:v>Done</x:v>
      </x:c>
      <x:c r="F22" s="1">
        <x:v>8</x:v>
      </x:c>
      <x:c r="G22" s="1" t="s">
        <x:v>86</x:v>
      </x:c>
      <x:c r="H22" s="1" t="s">
        <x:v>21</x:v>
      </x:c>
      <x:c r="I22" s="1" t="s">
        <x:v>138</x:v>
      </x:c>
      <x:c r="J22" s="1" t="s">
        <x:v>133</x:v>
      </x:c>
      <x:c r="K22" s="1" t="s">
        <x:v>139</x:v>
      </x:c>
      <x:c r="L22" s="1" t="str">
        <x:v>feat/reassignment-policy</x:v>
      </x:c>
      <x:c r="M22" s="1" t="str">
        <x:v>HU-018 · Done</x:v>
      </x:c>
      <x:c r="N22" s="1" t="str">
        <x:v>Políticas versionadas e inmutables de reasignación implementadas.</x:v>
      </x:c>
    </x:row>
    <x:row r="23" ht="43.5" customHeight="1">
      <x:c r="A23" s="1" t="s">
        <x:v>140</x:v>
      </x:c>
      <x:c r="B23" s="1" t="s">
        <x:v>141</x:v>
      </x:c>
      <x:c r="C23" s="1" t="s">
        <x:v>142</x:v>
      </x:c>
      <x:c r="D23" s="1" t="s">
        <x:v>143</x:v>
      </x:c>
      <x:c r="E23" s="1" t="str">
        <x:v>Done</x:v>
      </x:c>
      <x:c r="F23" s="1">
        <x:v>5</x:v>
      </x:c>
      <x:c r="G23" s="1" t="s">
        <x:v>144</x:v>
      </x:c>
      <x:c r="H23" s="1" t="s">
        <x:v>131</x:v>
      </x:c>
      <x:c r="I23" s="1" t="s">
        <x:v>145</x:v>
      </x:c>
      <x:c r="J23" s="1" t="s">
        <x:v>133</x:v>
      </x:c>
      <x:c r="K23" s="1" t="s">
        <x:v>146</x:v>
      </x:c>
      <x:c r="L23" s="1" t="str">
        <x:v>feat/reports-indicators · PR #84</x:v>
      </x:c>
      <x:c r="M23" s="1" t="str">
        <x:v>HU-019 · Done</x:v>
      </x:c>
      <x:c r="N23" s="1" t="str">
        <x:v>Indicadores institucionales implementados y validados.</x:v>
      </x:c>
    </x:row>
    <x:row r="24" ht="43.5" customHeight="1">
      <x:c r="A24" s="1" t="s">
        <x:v>147</x:v>
      </x:c>
      <x:c r="B24" s="1" t="s">
        <x:v>148</x:v>
      </x:c>
      <x:c r="C24" s="1" t="s">
        <x:v>149</x:v>
      </x:c>
      <x:c r="D24" s="1" t="s">
        <x:v>150</x:v>
      </x:c>
      <x:c r="E24" s="1" t="str">
        <x:v>Done</x:v>
      </x:c>
      <x:c r="F24" s="1">
        <x:v>5</x:v>
      </x:c>
      <x:c r="G24" s="1" t="s">
        <x:v>144</x:v>
      </x:c>
      <x:c r="H24" s="1" t="s">
        <x:v>21</x:v>
      </x:c>
      <x:c r="I24" s="1" t="s">
        <x:v>151</x:v>
      </x:c>
      <x:c r="J24" s="1" t="s">
        <x:v>133</x:v>
      </x:c>
      <x:c r="K24" s="1" t="s">
        <x:v>152</x:v>
      </x:c>
      <x:c r="L24" s="1" t="str">
        <x:v>feat/audit-trail · PR #86</x:v>
      </x:c>
      <x:c r="M24" s="1" t="str">
        <x:v>HU-020 · Done</x:v>
      </x:c>
      <x:c r="N24" s="1" t="str">
        <x:v>Auditoría read-only e instrumentación de eventos relevantes implementadas y validadas.</x:v>
      </x:c>
    </x:row>
    <x:row r="25" ht="15.75" customHeight="1">
      <x:c r="A25" t="str">
        <x:v>HU-021</x:v>
      </x:c>
      <x:c r="B25" t="str">
        <x:v>Lista de espera</x:v>
      </x:c>
      <x:c r="C25" t="str">
        <x:v>Como usuario de CitaJusta, quiero gestionar desde la Web mi participación en listas de espera y sus preferencias, para inscribirme, ajustar mis condiciones de atención y retirarme cuando corresponda.</x:v>
      </x:c>
      <x:c r="D25" t="str">
        <x:v>Gestionar lista de espera y preferencias desde la Web</x:v>
      </x:c>
      <x:c r="E25" t="str">
        <x:v>Done</x:v>
      </x:c>
      <x:c r="F25" t="str">
        <x:v>Por estimar</x:v>
      </x:c>
      <x:c r="G25" t="str">
        <x:v>Sprint 5</x:v>
      </x:c>
      <x:c r="H25" t="str">
        <x:v>Alta</x:v>
      </x:c>
      <x:c r="I25" t="str">
        <x:v>HU-007 / HU-008 Web</x:v>
      </x:c>
      <x:c r="J25" t="str">
        <x:v>MVP</x:v>
      </x:c>
      <x:c r="K25" t="str">
        <x:v>El usuario autenticado puede consultar e ingresar a listas válidas. • Puede configurar días, rangos y sedes preferidas. • Puede retirarse. • La UI usa respuestas reales y no replica ranking/elegibilidad.</x:v>
      </x:c>
      <x:c r="L25" t="str">
        <x:v>feat/web-waitlist · PR #89 · merge c291d17</x:v>
      </x:c>
      <x:c r="M25" t="str">
        <x:v>HU-021 · Done</x:v>
      </x:c>
      <x:c r="N25" t="str">
        <x:v>Validación real Web + API + PostgreSQL: alta ACTIVE, preferencias persistentes y retiro. Web 56/56; development/seed 11/11; Waitlist E2E 24/24.</x:v>
      </x:c>
    </x:row>
    <x:row r="26" ht="15.75" customHeight="1">
      <x:c r="A26" t="str">
        <x:v>HU-022</x:v>
      </x:c>
      <x:c r="B26" t="str">
        <x:v>Ofertas</x:v>
      </x:c>
      <x:c r="C26" t="str">
        <x:v>Como usuario de CitaJusta, quiero visualizar y responder desde la Web las ofertas de reasignación que reciba, para aceptar una nueva hora compatible o rechazarla de forma segura.</x:v>
      </x:c>
      <x:c r="D26" t="str">
        <x:v>Gestionar ofertas de reasignación desde la Web</x:v>
      </x:c>
      <x:c r="E26" t="str">
        <x:v>Done</x:v>
      </x:c>
      <x:c r="F26" t="str">
        <x:v>Por estimar</x:v>
      </x:c>
      <x:c r="G26" t="str">
        <x:v>Sprint 6</x:v>
      </x:c>
      <x:c r="H26" t="str">
        <x:v>Crítica</x:v>
      </x:c>
      <x:c r="I26" t="str">
        <x:v>HU-009 / HU-010 / HU-011 Web</x:v>
      </x:c>
      <x:c r="J26" t="str">
        <x:v>MVP</x:v>
      </x:c>
      <x:c r="K26" t="str">
        <x:v>La Web muestra ofertas reales y su expiresAt. • Permite aceptar/rechazar mediante los endpoints reales. • La aceptación transfiere la cita existente. • El rechazo no crea una cita. • El cliente no recalcula elegibilidad ni ranking.</x:v>
      </x:c>
      <x:c r="L26" t="str">
        <x:v>feat/web-reassignment-offers · PR #93 · merge 5701ab7</x:v>
      </x:c>
      <x:c r="M26" t="str">
        <x:v>HU-022 · Done</x:v>
      </x:c>
      <x:c r="N26" t="str">
        <x:v>Validación completa Web + API + PostgreSQL: ACCEPT transfirió cita AGENDADA; REJECT no creó cita; oferta vencida deshabilitada sin mutación desde el cliente.</x:v>
      </x:c>
    </x:row>
    <x:row r="27" ht="70" customHeight="1">
      <x:c r="A27" s="55" t="str">
        <x:v>HU-023</x:v>
      </x:c>
      <x:c r="B27" s="57" t="str">
        <x:v>Ofertas / Reasignación</x:v>
      </x:c>
      <x:c r="C27" s="57" t="str">
        <x:v>Como sistema CitaJusta, quiero expirar automáticamente las ofertas vencidas y continuar con el siguiente candidato elegible, para recuperar cupos liberados sin depender de intervención manual.</x:v>
      </x:c>
      <x:c r="D27" s="57" t="str">
        <x:v>Automatizar expiración y continuidad de reasignación</x:v>
      </x:c>
      <x:c r="E27" s="57" t="str">
        <x:v>Done</x:v>
      </x:c>
      <x:c r="F27" s="57" t="str">
        <x:v>Por estimar</x:v>
      </x:c>
      <x:c r="G27" s="57" t="str">
        <x:v>Sprint 6</x:v>
      </x:c>
      <x:c r="H27" s="57" t="str">
        <x:v>Crítica</x:v>
      </x:c>
      <x:c r="I27" s="57" t="str">
        <x:v>RF-029 / RF-030 / RF-036</x:v>
      </x:c>
      <x:c r="J27" s="57" t="str">
        <x:v>MVP</x:v>
      </x:c>
      <x:c r="K27" s="57" t="str">
        <x:v>Una oferta PENDING vencida pasa de forma persistente a EXPIRED. • La continuidad genera como máximo una siguiente oferta. • Sin candidatos el proceso queda EXHAUSTED. • Cupo/contexto inutilizable cierra CANCELLED. • La operación es idempotente, transaccional y segura ante concurrencia.</x:v>
      </x:c>
      <x:c r="L27" s="57" t="str">
        <x:v>feat/automatic-offer-expiration · PR #96 · merge 109b1c9</x:v>
      </x:c>
      <x:c r="M27" s="57" t="str">
        <x:v>HU-023 · Done</x:v>
      </x:c>
      <x:c r="N27" s="57" t="str">
        <x:v>Runner interno sin dependencias nuevas. Auditoría OFFER_EXPIRED. Validación: API 368/368; E2E expiración 10/10; reasignaciones 20/20; audit 11/11; policy 13/13; reports 15/15; checkpoint 1/1.</x:v>
      </x:c>
    </x:row>
    <x:row r="28" ht="70" customHeight="1">
      <x:c r="A28" s="57" t="str">
        <x:v>HU-024</x:v>
      </x:c>
      <x:c r="B28" s="57" t="str">
        <x:v>Notificaciones</x:v>
      </x:c>
      <x:c r="C28" s="57" t="str">
        <x:v>Como usuario de CitaJusta, quiero recibir y consultar notificaciones internas sobre eventos importantes de mis citas, lista de espera y ofertas, para mantenerme informado sin depender de servicios externos.</x:v>
      </x:c>
      <x:c r="D28" s="57" t="str">
        <x:v>Implementar notificaciones internas</x:v>
      </x:c>
      <x:c r="E28" s="57" t="str">
        <x:v>Done</x:v>
      </x:c>
      <x:c r="F28" s="57" t="str">
        <x:v>Por estimar</x:v>
      </x:c>
      <x:c r="G28" s="57" t="str">
        <x:v>Sprint 6</x:v>
      </x:c>
      <x:c r="H28" s="57" t="str">
        <x:v>Alta</x:v>
      </x:c>
      <x:c r="I28" s="57" t="str">
        <x:v>RF-034</x:v>
      </x:c>
      <x:c r="J28" s="57" t="str">
        <x:v>MVP</x:v>
      </x:c>
      <x:c r="K28" s="57" t="str">
        <x:v>Las notificaciones se persisten dentro de las transacciones reales del dominio. • Sólo el destinatario autenticado puede consultarlas o marcarlas como leídas. • Reintentos idempotentes no generan duplicados. • La Web muestra contador, listado y lectura persistente.</x:v>
      </x:c>
      <x:c r="L28" s="57" t="str">
        <x:v>feat/internal-notifications · PR #99 · merge b1bff30</x:v>
      </x:c>
      <x:c r="M28" s="57" t="str">
        <x:v>HU-024 · Done</x:v>
      </x:c>
      <x:c r="N28" s="57" t="str">
        <x:v>Ocho eventos integrados. API /notifications/me + unread-count + read. Web /notificaciones. Validación: nuevos API 6/6; E2E notifications 8/8; API dirigida 157/157; regresión crítica 87/87; Web 83/83; prueba manual de lectura y logout/login PASS.</x:v>
      </x:c>
    </x:row>
    <x:row r="29" ht="34" customHeight="1">
      <x:c r="A29" t="str">
        <x:v>Nota: HU-001 a HU-020 mantienen sus Story Points históricos (105 SP). HU-021 a HU-024 quedan Por estimar hasta Refinement/Planning. El estado Done refleja implementación, pruebas y trazabilidad verificable en GitHub.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29:N29"/>
  </x:mergeCells>
  <x:conditionalFormatting sqref="E5:E24">
    <x:cfRule type="expression" dxfId="4" priority="1">
      <x:formula>E5="Done"</x:formula>
    </x:cfRule>
    <x:cfRule type="expression" dxfId="3" priority="2">
      <x:formula>E5="En progreso"</x:formula>
    </x:cfRule>
    <x:cfRule type="expression" dxfId="2" priority="3">
      <x:formula>E5="Pendiente"</x:formula>
    </x:cfRule>
  </x:conditionalFormatting>
  <x:dataValidations count="5">
    <x:dataValidation type="list" allowBlank="1" sqref="H5:H24">
      <x:formula1>"Crítica,Alta,Media,Baja"</x:formula1>
    </x:dataValidation>
    <x:dataValidation type="custom" allowBlank="1" showDropDown="1" sqref="F5:F24">
      <x:formula1>AND(ISNUMBER(F5),(NOT(OR(NOT(ISERROR(DATEVALUE(F5))), AND(ISNUMBER(F5), LEFT(CELL("format", F5))="D")))))</x:formula1>
    </x:dataValidation>
    <x:dataValidation type="list" allowBlank="1" showDropDown="1" showErrorMessage="1" sqref="J5:J24">
      <x:formula1>"MVP,Objetivo"</x:formula1>
    </x:dataValidation>
    <x:dataValidation type="list" allowBlank="1" showDropDown="1" showErrorMessage="1" sqref="G5:G24">
      <x:formula1>"Sprint 3,Sprint 4,Sprint 5,Sprint 6,Sprint 7"</x:formula1>
    </x:dataValidation>
    <x:dataValidation type="list" allowBlank="1" sqref="E5:E24">
      <x:formula1>"Done,En progreso,Pendiente"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53b8e3fbc0407a"/>
  </x:tableParts>
</x:worksheet>
</file>

<file path=xl/worksheets/sheet2.xml><?xml version="1.0" encoding="utf-8"?>
<x:worksheet xmlns:x="http://schemas.openxmlformats.org/spreadsheetml/2006/main">
  <x:sheetFormatPr baseColWidth="10" defaultColWidth="12.625" defaultRowHeight="14.25"/>
  <x:cols>
    <x:col min="1" max="1" width="24" customWidth="1"/>
    <x:col min="2" max="2" width="35.125" customWidth="1"/>
    <x:col min="3" max="6" width="8.625" customWidth="1"/>
  </x:cols>
  <x:sheetData>
    <x:row r="1" ht="27.75" customHeight="1">
      <x:c r="A1" s="8" t="str">
        <x:v>CITAJUSTA — RESUMEN DEL PRODUCT BACKLOG (ACTUALIZADO 21-09-2026)</x:v>
      </x:c>
      <x:c r="B1" s="9"/>
      <x:c r="C1" s="9"/>
      <x:c r="D1" s="9"/>
      <x:c r="E1" s="9"/>
      <x:c r="F1" s="9"/>
    </x:row>
    <x:row r="3" ht="30">
      <x:c r="A3" s="2" t="s">
        <x:v>153</x:v>
      </x:c>
      <x:c r="B3" s="2" t="s">
        <x:v>154</x:v>
      </x:c>
      <x:c r="C3" s="3"/>
      <x:c r="D3" s="4" t="str">
        <x:v>Estado</x:v>
      </x:c>
      <x:c r="E3" s="4" t="str">
        <x:v>Historias</x:v>
      </x:c>
      <x:c r="F3" s="3"/>
    </x:row>
    <x:row r="4">
      <x:c r="A4" s="1" t="str">
        <x:v>Historias totales</x:v>
      </x:c>
      <x:c r="B4" s="1" t="n">
        <x:v>24</x:v>
      </x:c>
      <x:c r="C4" s="3"/>
      <x:c r="D4" s="5" t="str">
        <x:v>Done</x:v>
      </x:c>
      <x:c r="E4" s="5" t="n">
        <x:f t="shared" ref="E4:E6" si="0">B6</x:f>
        <x:v>24</x:v>
      </x:c>
      <x:c r="F4" s="3"/>
    </x:row>
    <x:row r="5" ht="28.5">
      <x:c r="A5" s="1" t="str">
        <x:v>Story Points base HU-001–HU-020</x:v>
      </x:c>
      <x:c r="B5" s="1" t="n">
        <x:v>105</x:v>
      </x:c>
      <x:c r="C5" s="3"/>
      <x:c r="D5" s="5" t="str">
        <x:v>En progreso</x:v>
      </x:c>
      <x:c r="E5" s="5" t="n">
        <x:f t="shared" si="0"/>
        <x:v>0</x:v>
      </x:c>
      <x:c r="F5" s="3"/>
    </x:row>
    <x:row r="6" ht="28.5">
      <x:c r="A6" s="1" t="str">
        <x:v>Done</x:v>
      </x:c>
      <x:c r="B6" s="1" t="n">
        <x:v>24</x:v>
      </x:c>
      <x:c r="C6" s="3"/>
      <x:c r="D6" s="5" t="str">
        <x:v>Pendiente</x:v>
      </x:c>
      <x:c r="E6" s="5" t="n">
        <x:f t="shared" si="0"/>
        <x:v>0</x:v>
      </x:c>
      <x:c r="F6" s="3"/>
    </x:row>
    <x:row r="7">
      <x:c r="A7" s="1" t="str">
        <x:v>En progreso</x:v>
      </x:c>
      <x:c r="B7" s="1" t="n">
        <x:v>0</x:v>
      </x:c>
      <x:c r="C7" s="3"/>
      <x:c r="D7" s="3"/>
      <x:c r="E7" s="3"/>
      <x:c r="F7" s="3"/>
    </x:row>
    <x:row r="8">
      <x:c r="A8" s="5" t="str">
        <x:v>Pendiente</x:v>
      </x:c>
      <x:c r="B8" s="5" t="n">
        <x:v>0</x:v>
      </x:c>
      <x:c r="C8" s="3"/>
      <x:c r="D8" s="3" t="str">
        <x:v>Sprint</x:v>
      </x:c>
      <x:c r="E8" s="3" t="str">
        <x:v>Historias</x:v>
      </x:c>
      <x:c r="F8" s="3"/>
    </x:row>
    <x:row r="9" ht="30">
      <x:c r="A9" s="5" t="str">
        <x:v>SP completados base HU-001–HU-020</x:v>
      </x:c>
      <x:c r="B9" s="5" t="n">
        <x:v>105</x:v>
      </x:c>
      <x:c r="C9" s="3"/>
      <x:c r="D9" s="4" t="str">
        <x:v>Sprint 3</x:v>
      </x:c>
      <x:c r="E9" s="4" t="n">
        <x:v>2</x:v>
      </x:c>
      <x:c r="F9" s="4"/>
    </x:row>
    <x:row r="10">
      <x:c r="A10" s="5" t="str">
        <x:v>Avance SP backlog base</x:v>
      </x:c>
      <x:c r="B10" s="6" t="n">
        <x:v>1</x:v>
      </x:c>
      <x:c r="C10" s="3"/>
      <x:c r="D10" s="5" t="str">
        <x:v>Sprint 4</x:v>
      </x:c>
      <x:c r="E10" s="5" t="n">
        <x:v>5</x:v>
      </x:c>
      <x:c r="F10" s="5"/>
    </x:row>
    <x:row r="11">
      <x:c r="A11" s="5" t="str">
        <x:v>Historias MVP</x:v>
      </x:c>
      <x:c r="B11" s="5" t="n">
        <x:v>20</x:v>
      </x:c>
      <x:c r="C11" s="3"/>
      <x:c r="D11" s="5" t="str">
        <x:v>Sprint 5</x:v>
      </x:c>
      <x:c r="E11" s="5" t="n">
        <x:v>7</x:v>
      </x:c>
      <x:c r="F11" s="5"/>
    </x:row>
    <x:row r="12">
      <x:c r="A12" s="5" t="str">
        <x:v>Historias Objetivo</x:v>
      </x:c>
      <x:c r="B12" s="5" t="n">
        <x:v>4</x:v>
      </x:c>
      <x:c r="C12" s="3"/>
      <x:c r="D12" s="5" t="str">
        <x:v>Sprint 6</x:v>
      </x:c>
      <x:c r="E12" s="5" t="n">
        <x:v>8</x:v>
      </x:c>
      <x:c r="F12" s="5"/>
    </x:row>
    <x:row r="13">
      <x:c r="A13" s="3"/>
      <x:c r="B13" s="3"/>
      <x:c r="C13" s="3"/>
      <x:c r="D13" s="5" t="str">
        <x:v>Sprint 7</x:v>
      </x:c>
      <x:c r="E13" s="5" t="n">
        <x:v>2</x:v>
      </x:c>
      <x:c r="F13" s="5"/>
    </x:row>
    <x:row r="14">
      <x:c r="A14" s="3"/>
      <x:c r="B14" s="3"/>
      <x:c r="C14" s="3"/>
      <x:c r="D14" s="5" t="str">
        <x:v>Total</x:v>
      </x:c>
      <x:c r="E14" s="5" t="n">
        <x:v>24</x:v>
      </x:c>
      <x:c r="F14" s="5"/>
    </x:row>
    <x:row r="15" ht="15">
      <x:c r="A15" s="12" t="str">
        <x:v>Notas de actualización</x:v>
      </x:c>
      <x:c r="B15" s="13"/>
      <x:c r="C15" s="3"/>
      <x:c r="D15" s="5"/>
      <x:c r="E15" s="5" t="str">
        <x:f t="shared" ref="E15:F15" si="1">""</x:f>
      </x:c>
      <x:c r="F15" s="5">
        <x:f t="shared" si="1"/>
      </x:c>
    </x:row>
    <x:row r="16">
      <x:c r="A16" s="14" t="str">
        <x:v>• Backend HU-001 a HU-020 completado.
• HU-021 Web waitlist/preferencias Done (PR #89, merge c291d17).
• HU-022 Web ofertas Done (PR #93, merge 5701ab7).
• HU-023 expiración automática/continuidad Done (PR #96, merge 109b1c9).
• HU-024 notificaciones internas Done (PR #99, merge b1bff30).
• RF-029/RF-030/RF-034 cubiertos. HU-021 a HU-024 mantienen Story Points Por estimar.</x:v>
      </x:c>
      <x:c r="B16" s="15"/>
      <x:c r="C16" s="7"/>
      <x:c r="D16" s="7"/>
      <x:c r="E16" s="7"/>
      <x:c r="F16" s="7"/>
    </x:row>
    <x:row r="17">
      <x:c r="A17" s="16"/>
      <x:c r="B17" s="17"/>
      <x:c r="C17" s="7"/>
      <x:c r="D17" s="7"/>
      <x:c r="E17" s="7"/>
      <x:c r="F17" s="7"/>
    </x:row>
    <x:row r="18">
      <x:c r="A18" s="16"/>
      <x:c r="B18" s="17"/>
      <x:c r="C18" s="7"/>
      <x:c r="D18" s="7"/>
      <x:c r="E18" s="7"/>
      <x:c r="F18" s="7"/>
    </x:row>
    <x:row r="19">
      <x:c r="A19" s="16"/>
      <x:c r="B19" s="17"/>
      <x:c r="C19" s="7"/>
      <x:c r="D19" s="7"/>
      <x:c r="E19" s="7"/>
      <x:c r="F19" s="7"/>
    </x:row>
    <x:row r="20">
      <x:c r="A20" s="16"/>
      <x:c r="B20" s="17"/>
      <x:c r="C20" s="7"/>
      <x:c r="D20" s="7"/>
      <x:c r="E20" s="7"/>
      <x:c r="F20" s="7"/>
    </x:row>
    <x:row r="21" ht="50.25" customHeight="1">
      <x:c r="A21" s="18"/>
      <x:c r="B21" s="19"/>
    </x:row>
    <x:row r="22" ht="15.75" customHeight="1"/>
    <x:row r="23" ht="15.75" customHeight="1">
      <x:c r="A23" s="20" t="str">
        <x:v>Último avance técnico incorporado al Backlog</x:v>
      </x:c>
      <x:c r="B23" s="21"/>
      <x:c r="C23" s="21"/>
      <x:c r="D23" s="21"/>
      <x:c r="E23" s="21"/>
      <x:c r="F23" s="13"/>
    </x:row>
    <x:row r="24" ht="15.75" customHeight="1">
      <x:c r="A24" s="14" t="str">
        <x:v>HU-024 quedó completada y validada con notificaciones persistentes, deduplicación transaccional, API autenticada y centro Web /notificaciones. El núcleo de reasignación ya incluye expiración automática y continuidad segura mediante HU-023.</x:v>
      </x:c>
      <x:c r="B24" s="22"/>
      <x:c r="C24" s="22"/>
      <x:c r="D24" s="22"/>
      <x:c r="E24" s="22"/>
      <x:c r="F24" s="15"/>
    </x:row>
    <x:row r="25" ht="15.75" customHeight="1">
      <x:c r="A25" s="23"/>
      <x:c r="B25" s="9"/>
      <x:c r="C25" s="9"/>
      <x:c r="D25" s="9"/>
      <x:c r="E25" s="9"/>
      <x:c r="F25" s="24"/>
    </x:row>
    <x:row r="26" ht="15.75" customHeight="1">
      <x:c r="A26" s="23"/>
      <x:c r="B26" s="9"/>
      <x:c r="C26" s="9"/>
      <x:c r="D26" s="9"/>
      <x:c r="E26" s="9"/>
      <x:c r="F26" s="24"/>
    </x:row>
    <x:row r="27" ht="15.75" customHeight="1">
      <x:c r="A27" s="18"/>
      <x:c r="B27" s="25"/>
      <x:c r="C27" s="25"/>
      <x:c r="D27" s="25"/>
      <x:c r="E27" s="25"/>
      <x:c r="F27" s="19"/>
    </x:row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F1"/>
    <x:mergeCell ref="A15:B15"/>
    <x:mergeCell ref="A16:B21"/>
    <x:mergeCell ref="A23:F23"/>
    <x:mergeCell ref="A24:F27"/>
  </x:mergeCells>
  <x:pageMargins left="0.7" right="0.7" top="0.75" bottom="0.75" header="0.3" footer="0.3"/>
  <x:drawing xmlns:r="http://schemas.openxmlformats.org/officeDocument/2006/relationships" r:id="R38509467ac3443b6"/>
</x:worksheet>
</file>