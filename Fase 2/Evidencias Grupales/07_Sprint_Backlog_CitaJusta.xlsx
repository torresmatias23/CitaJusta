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C2\Desktop\DEVELOPMENT\CITAJUSTA\CitaJusta\Fase 2\Evidencias Grupales\"/>
    </mc:Choice>
  </mc:AlternateContent>
  <xr:revisionPtr revIDLastSave="0" documentId="13_ncr:1_{1E9592BF-E775-4673-8266-BD8E98D17369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print Backlog" sheetId="1" r:id="rId1"/>
    <sheet name="Control Diario" sheetId="2" r:id="rId2"/>
    <sheet name="Resumen Sprin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3" l="1"/>
  <c r="E5" i="3"/>
  <c r="E4" i="3"/>
  <c r="B4" i="3"/>
  <c r="N13" i="2"/>
  <c r="O13" i="2" s="1"/>
  <c r="E13" i="2"/>
  <c r="G13" i="2" s="1"/>
  <c r="I13" i="2" s="1"/>
  <c r="K13" i="2" s="1"/>
  <c r="M13" i="2" s="1"/>
  <c r="N12" i="2"/>
  <c r="O12" i="2" s="1"/>
  <c r="E12" i="2"/>
  <c r="G12" i="2" s="1"/>
  <c r="I12" i="2" s="1"/>
  <c r="K12" i="2" s="1"/>
  <c r="M12" i="2" s="1"/>
  <c r="N11" i="2"/>
  <c r="O11" i="2" s="1"/>
  <c r="E11" i="2"/>
  <c r="G11" i="2" s="1"/>
  <c r="I11" i="2" s="1"/>
  <c r="K11" i="2" s="1"/>
  <c r="M11" i="2" s="1"/>
  <c r="N10" i="2"/>
  <c r="O10" i="2" s="1"/>
  <c r="E10" i="2"/>
  <c r="G10" i="2" s="1"/>
  <c r="I10" i="2" s="1"/>
  <c r="K10" i="2" s="1"/>
  <c r="M10" i="2" s="1"/>
  <c r="N9" i="2"/>
  <c r="O9" i="2" s="1"/>
  <c r="E9" i="2"/>
  <c r="G9" i="2" s="1"/>
  <c r="I9" i="2" s="1"/>
  <c r="K9" i="2" s="1"/>
  <c r="M9" i="2" s="1"/>
  <c r="N8" i="2"/>
  <c r="O8" i="2" s="1"/>
  <c r="E8" i="2"/>
  <c r="G8" i="2" s="1"/>
  <c r="I8" i="2" s="1"/>
  <c r="K8" i="2" s="1"/>
  <c r="M8" i="2" s="1"/>
  <c r="N7" i="2"/>
  <c r="O7" i="2" s="1"/>
  <c r="E7" i="2"/>
  <c r="G7" i="2" s="1"/>
  <c r="I7" i="2" s="1"/>
  <c r="K7" i="2" s="1"/>
  <c r="M7" i="2" s="1"/>
  <c r="N6" i="2"/>
  <c r="O6" i="2" s="1"/>
  <c r="E6" i="2"/>
  <c r="G6" i="2" s="1"/>
  <c r="I6" i="2" s="1"/>
  <c r="K6" i="2" s="1"/>
  <c r="M6" i="2" s="1"/>
</calcChain>
</file>

<file path=xl/sharedStrings.xml><?xml version="1.0" encoding="utf-8"?>
<sst xmlns="http://schemas.openxmlformats.org/spreadsheetml/2006/main" count="173" uniqueCount="128">
  <si>
    <t>CITAJUSTA SPRINT BACKLOG SPRINT 5: CITAS Y LISTA DE ESPERA</t>
  </si>
  <si>
    <t>Campo</t>
  </si>
  <si>
    <t>Valor</t>
  </si>
  <si>
    <t>Sprint</t>
  </si>
  <si>
    <t>5</t>
  </si>
  <si>
    <t>Estado</t>
  </si>
  <si>
    <t>En progreso</t>
  </si>
  <si>
    <t>Fecha de corte</t>
  </si>
  <si>
    <t>Responsables</t>
  </si>
  <si>
    <t>Equipo CitaJusta</t>
  </si>
  <si>
    <t>Observación</t>
  </si>
  <si>
    <t>PBI / HU</t>
  </si>
  <si>
    <t>Tarea ID</t>
  </si>
  <si>
    <t>Tarea / actividad</t>
  </si>
  <si>
    <t>Tipo</t>
  </si>
  <si>
    <t>Prioridad</t>
  </si>
  <si>
    <t>Estimación (h)</t>
  </si>
  <si>
    <t>Responsable</t>
  </si>
  <si>
    <t>Dependencias / impedimentos</t>
  </si>
  <si>
    <t>Criterio de término</t>
  </si>
  <si>
    <t>Rama / PR</t>
  </si>
  <si>
    <t>Día consumido</t>
  </si>
  <si>
    <t>Horas reales</t>
  </si>
  <si>
    <t>Notas</t>
  </si>
  <si>
    <t>HU-004</t>
  </si>
  <si>
    <t>S5-T01</t>
  </si>
  <si>
    <t>Implementar reserva transaccional de citas</t>
  </si>
  <si>
    <t>Backend</t>
  </si>
  <si>
    <t>Crítica</t>
  </si>
  <si>
    <t>Done</t>
  </si>
  <si>
    <t>AgendaSlot + disponibilidad + Auth</t>
  </si>
  <si>
    <t>Reserva propia segura, sin doble asignación y con historial inicial</t>
  </si>
  <si>
    <t>feat/appointments-booking-foundation · commit 7a6a80e</t>
  </si>
  <si>
    <t>POST /api/v1/appointments. Serializable, lockVersion y UNIQUE(citas.cupo_id). E2E reservas 8/8.</t>
  </si>
  <si>
    <t>HU-005</t>
  </si>
  <si>
    <t>S5-T02</t>
  </si>
  <si>
    <t>Implementar consulta autenticada de mis citas</t>
  </si>
  <si>
    <t>Alta</t>
  </si>
  <si>
    <t>HU-004 + Auth</t>
  </si>
  <si>
    <t>GET /api/v1/appointments/me devuelve solo citas propias con DTO público y orden determinista</t>
  </si>
  <si>
    <t>commit 89d15a8</t>
  </si>
  <si>
    <t>96/96 unitarios y 14/14 E2E appointments al cierre de HU-005. Sin PR; commit directo a main.</t>
  </si>
  <si>
    <t>HU-006</t>
  </si>
  <si>
    <t>S5-T03</t>
  </si>
  <si>
    <t>Implementar cancelación transaccional e idempotente</t>
  </si>
  <si>
    <t>HU-004 + HU-005 + estado CANCELADA</t>
  </si>
  <si>
    <t>AGENDADA → CANCELADA; slot RESERVED → RELEASED; historial único y concurrencia segura</t>
  </si>
  <si>
    <t>feat/appointments-cancellation · PR #37 · commit 9c62153</t>
  </si>
  <si>
    <t>114/114 unitarios, 22/22 E2E appointments y checkpoint 1/1. Segunda cancelación: 200 sin efectos duplicados.</t>
  </si>
  <si>
    <t>Técnica</t>
  </si>
  <si>
    <t>S5-T04</t>
  </si>
  <si>
    <t>Crear fundación de aplicación web y Home responsive</t>
  </si>
  <si>
    <t>Frontend</t>
  </si>
  <si>
    <t>Monorepo + diseño aprobado</t>
  </si>
  <si>
    <t>apps/web integrado con React/Vite/TS/Tailwind, routing, componentes base, Home y tests</t>
  </si>
  <si>
    <t>12/12 tests web, typecheck PASS y build web/API aprobado. Sin llamadas reales al backend todavía.</t>
  </si>
  <si>
    <t>HU-003 / Técnica</t>
  </si>
  <si>
    <t>S5-T05</t>
  </si>
  <si>
    <t>Integrar frontend con Auth, catálogos y disponibilidad real</t>
  </si>
  <si>
    <t>Frontend / Integración</t>
  </si>
  <si>
    <t>apps/web + APIs existentes</t>
  </si>
  <si>
    <t>HU-007</t>
  </si>
  <si>
    <t>S5-T06</t>
  </si>
  <si>
    <t>Implementar ingreso a lista de espera</t>
  </si>
  <si>
    <t>Pendiente</t>
  </si>
  <si>
    <t>HU-006 + modelo waitlist existente</t>
  </si>
  <si>
    <t>Usuario puede ingresar a lista de espera con reglas y trazabilidad definidas</t>
  </si>
  <si>
    <t>HU-008</t>
  </si>
  <si>
    <t>S5-T07</t>
  </si>
  <si>
    <t>Implementar preferencias y gestión de lista de espera</t>
  </si>
  <si>
    <t>Preferencias de espera gestionables y consistentes con el futuro motor de ofertas</t>
  </si>
  <si>
    <t>S5-T08</t>
  </si>
  <si>
    <t>Validar flujo web-backend end-to-end del núcleo de citas</t>
  </si>
  <si>
    <t>Testing / Integración</t>
  </si>
  <si>
    <t>S5-T05 + HU-004/005/006</t>
  </si>
  <si>
    <t>Flujo autenticado de búsqueda, reserva, consulta y cancelación validado desde web</t>
  </si>
  <si>
    <t>CONTROL DIARIO SPRINT 5 — REGISTRO REAL DE HORAS / TRABAJO RESTANTE</t>
  </si>
  <si>
    <t>Tarea</t>
  </si>
  <si>
    <t>Horas estimadas</t>
  </si>
  <si>
    <t>Día 1 Cons.</t>
  </si>
  <si>
    <t>Día 1 Rest.</t>
  </si>
  <si>
    <t>Día 2 Cons.</t>
  </si>
  <si>
    <t>Día 2 Rest.</t>
  </si>
  <si>
    <t>Día 3 Cons.</t>
  </si>
  <si>
    <t>Día 3 Rest.</t>
  </si>
  <si>
    <t>Día 4 Cons.</t>
  </si>
  <si>
    <t>Día 4 Rest.</t>
  </si>
  <si>
    <t>Día 5 Cons.</t>
  </si>
  <si>
    <t>Día 5 Rest.</t>
  </si>
  <si>
    <t>Total consumido</t>
  </si>
  <si>
    <t>Restante final</t>
  </si>
  <si>
    <t>CITAJUSTA — RESUMEN SPRINT 5: CITAS Y LISTA DE ESPERA — EN PROGRESO</t>
  </si>
  <si>
    <t>Indicador</t>
  </si>
  <si>
    <t>Tareas</t>
  </si>
  <si>
    <t>Tareas planificadas</t>
  </si>
  <si>
    <t>Estimación horaria</t>
  </si>
  <si>
    <t>Pendiente de Planning</t>
  </si>
  <si>
    <t>Ready</t>
  </si>
  <si>
    <t>Tareas Done</t>
  </si>
  <si>
    <t>Tareas Ready</t>
  </si>
  <si>
    <t>En progreso / Bloqueado</t>
  </si>
  <si>
    <t>Tareas pendientes</t>
  </si>
  <si>
    <t>Avance por tareas</t>
  </si>
  <si>
    <t>Validación actual</t>
  </si>
  <si>
    <t>Pruebas actuales</t>
  </si>
  <si>
    <t>Entregables logrados</t>
  </si>
  <si>
    <t>Pendientes del Sprint</t>
  </si>
  <si>
    <t>Versión 1.1 · Primera evaluación · 09-09-2026 · Sprint 5 en progreso. 6 de 8 tareas están completadas: HU-004, HU-005, HU-006, fundación web, integración Web/API y validación E2E del núcleo de citas. El siguiente foco es HU-007 Lista de Espera y HU-008 Preferencias.</t>
  </si>
  <si>
    <t>09-09-2026</t>
  </si>
  <si>
    <t>Este Sprint Backlog registra tareas funcionales y técnicas reales del Sprint 5. Se mantienen 6 de 8 tareas completadas. No se reconstruyen horas reales ni consumo diario; la estimación horaria formal queda pendiente de Planning y los registros temporales sólo deben completarse con evidencia real.</t>
  </si>
  <si>
    <t>feat/web-foundation · PR #38 · merge b67fbfc</t>
  </si>
  <si>
    <t>Sesión, catálogos, disponibilidad y flujo principal de citas consumen APIs reales sin datos de demostración funcionales</t>
  </si>
  <si>
    <t>feat/web-api-integration · PR #43 · merge a7dddf9</t>
  </si>
  <si>
    <t>Integración real completada y validada: registro/login, restauración de sesión, catálogos, disponibilidad, reserva, confirmación, Mis citas, cancelación, logout y protección de rutas.</t>
  </si>
  <si>
    <t>Siguiente foco del Sprint tras el cierre de la integración Web/API. Debe implementarse con reglas y trazabilidad reales sobre el modelo waitlist existente.</t>
  </si>
  <si>
    <t>Pendiente de HU-007. La interfaz no debe simular preferencias ni gestión de lista de espera sin contratos y persistencia reales.</t>
  </si>
  <si>
    <t>13/13 E2E Web/API/PostgreSQL PASS. Flujo manual completo validado: registro → login → catálogos → disponibilidad → reserva → confirmación → Mis citas → cancelación → logout.</t>
  </si>
  <si>
    <t>No se cargan horas históricas estimadas como si fueran consumo real. S5-T01 a S5-T05 y S5-T08 están completadas técnicamente; S5-T06 y S5-T07 siguen pendientes. Las horas diarias no se reconstruyen retrospectivamente y sólo deben completarse con registros reales.</t>
  </si>
  <si>
    <t>Tarea completada técnicamente; horas diarias no reconstruidas retrospectivamente.</t>
  </si>
  <si>
    <t>Tarea pendiente. Registrar consumo y trabajo restante sólo cuando exista actividad real documentada.</t>
  </si>
  <si>
    <t>Tarea pendiente y dependiente de HU-007. Registrar horas sólo con evidencia real.</t>
  </si>
  <si>
    <t>Tarea completada técnicamente: 13/13 E2E Web/API/PostgreSQL PASS. Horas diarias no reconstruidas retrospectivamente.</t>
  </si>
  <si>
    <t>Backend 114/114 · E2E appointments 22/22 · checkpoint 1/1 · Web 39/39 · Web/API/PostgreSQL E2E 13/13</t>
  </si>
  <si>
    <t>Backend 114/114 · E2E appointments 22/22 · checkpoint PostgreSQL 1/1 · Web 39/39 · E2E Web/API/PostgreSQL 13/13</t>
  </si>
  <si>
    <t>• HU-004 reserva transaccional completada.
• HU-005 consulta de citas propias completada.
• HU-006 cancelación idempotente completada.
• AgendaSlot RELEASED preparado para futura recuperación.
• Fundación de apps/web completada y mergeada mediante PR #38.
• Integración Web/API real completada mediante PR #43.
• Registro/login, catálogos, disponibilidad, reserva, confirmación, Mis citas, cancelación y logout validados.
• Backend 114/114; E2E appointments 22/22; checkpoint 1/1; Web 39/39; E2E Web/API/PostgreSQL 13/13.</t>
  </si>
  <si>
    <t>• Implementar HU-007 ingreso a lista de espera.
• Implementar HU-008 preferencias de lista de espera.
• Mantener evidencias Daily/Review sólo con datos reales.
• No implementar ofertas/reasignación antes de HU-009.
• Mantener Product Backlog y Kanban sincronizados con el avance real.</t>
  </si>
  <si>
    <t>Evidencia técnica al 09-09-2026</t>
  </si>
  <si>
    <t>Sprint 5 registra seis tareas completadas de ocho planificadas: HU-004, HU-005, HU-006, fundación web, integración Web/API y validación E2E del núcleo de citas. El siguiente foco es HU-007 Lista de Espera y HU-008 Preferencias. Las horas reales no se reconstruyen retrospectivamente; el seguimiento temporal se completa únicamente con evidencia real.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</si>
</sst>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>
    <font>
      <sz val="11"/>
      <color rgb="FF000000"/>
      <name val="Carlito"/>
    </font>
    <font>
      <b/>
      <sz val="16"/>
      <color rgb="FFFFFFFF"/>
      <name val="Carlito"/>
    </font>
    <font>
      <sz val="11"/>
      <name val="Carlito"/>
    </font>
    <font>
      <b/>
      <sz val="15"/>
      <color rgb="FFFFFFFF"/>
      <name val="Carlito"/>
    </font>
    <font>
      <sz val="11"/>
      <color theme="1"/>
      <name val="Carlito"/>
    </font>
    <font>
      <b/>
      <sz val="11"/>
      <color rgb="FF1F1F1F"/>
      <name val="Carlito"/>
    </font>
    <font>
      <sz val="11"/>
      <color rgb="FF000000"/>
      <name val="Carlito"/>
    </font>
    <font>
      <sz val="11"/>
      <color theme="1"/>
      <name val="Carlito"/>
    </font>
    <font>
      <b/>
      <sz val="11"/>
      <color theme="1"/>
      <name val="Carlito"/>
    </font>
    <font>
      <b/>
      <sz val="11"/>
      <color rgb="FF000000"/>
      <name val="Carlito"/>
    </font>
    <font>
      <sz val="11"/>
      <color theme="1"/>
      <name val="Carlito"/>
    </font>
  </fonts>
  <fills count="8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F7F9FB"/>
      </patternFill>
    </fill>
    <fill>
      <patternFill patternType="solid">
        <fgColor rgb="FFB6D7A8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theme="9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5" fillId="4" borderId="4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4" fillId="0" borderId="4" xfId="0" applyFont="1" applyBorder="1" applyAlignment="1">
      <alignment vertical="top" wrapText="1"/>
    </xf>
    <xf numFmtId="0" fontId="8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wrapText="1"/>
    </xf>
    <xf numFmtId="0" fontId="4" fillId="0" borderId="4" xfId="0" applyFont="1" applyBorder="1" applyAlignment="1">
      <alignment horizontal="center" vertical="center" wrapText="1"/>
    </xf>
    <xf numFmtId="0" fontId="9" fillId="4" borderId="4" xfId="0" applyFont="1" applyFill="1" applyBorder="1" applyAlignment="1">
      <alignment wrapText="1"/>
    </xf>
    <xf numFmtId="0" fontId="9" fillId="4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vertical="center" wrapText="1"/>
    </xf>
    <xf numFmtId="0" fontId="7" fillId="0" borderId="4" xfId="0" applyFont="1" applyBorder="1" applyAlignment="1">
      <alignment wrapText="1"/>
    </xf>
    <xf numFmtId="0" fontId="7" fillId="0" borderId="4" xfId="0" applyFont="1" applyBorder="1" applyAlignment="1">
      <alignment horizontal="center" vertical="center" wrapText="1"/>
    </xf>
    <xf numFmtId="0" fontId="10" fillId="0" borderId="4" xfId="0" applyFont="1" applyBorder="1"/>
    <xf numFmtId="164" fontId="6" fillId="0" borderId="4" xfId="0" applyNumberFormat="1" applyFont="1" applyBorder="1" applyAlignment="1">
      <alignment wrapText="1"/>
    </xf>
    <xf numFmtId="0" fontId="6" fillId="0" borderId="0" xfId="0" applyFont="1" applyAlignment="1">
      <alignment wrapText="1"/>
    </xf>
    <xf numFmtId="0" fontId="0" fillId="0" borderId="4" xfId="0" applyBorder="1" applyAlignment="1">
      <alignment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4" fillId="3" borderId="1" xfId="0" applyFont="1" applyFill="1" applyBorder="1" applyAlignment="1">
      <alignment wrapText="1"/>
    </xf>
    <xf numFmtId="0" fontId="2" fillId="0" borderId="2" xfId="0" applyFont="1" applyBorder="1" applyAlignment="1">
      <alignment wrapText="1"/>
    </xf>
    <xf numFmtId="0" fontId="2" fillId="0" borderId="3" xfId="0" applyFont="1" applyBorder="1" applyAlignment="1">
      <alignment wrapText="1"/>
    </xf>
    <xf numFmtId="0" fontId="5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3" fillId="2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wrapText="1"/>
    </xf>
    <xf numFmtId="0" fontId="1" fillId="2" borderId="0" xfId="0" applyFont="1" applyFill="1" applyAlignment="1">
      <alignment horizontal="center"/>
    </xf>
    <xf numFmtId="0" fontId="0" fillId="0" borderId="0" xfId="0"/>
    <xf numFmtId="0" fontId="9" fillId="6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0" fillId="0" borderId="6" xfId="0" applyBorder="1" applyAlignment="1">
      <alignment vertical="center" wrapText="1"/>
    </xf>
    <xf numFmtId="0" fontId="2" fillId="0" borderId="7" xfId="0" applyFont="1" applyBorder="1" applyAlignment="1">
      <alignment wrapText="1"/>
    </xf>
    <xf numFmtId="0" fontId="2" fillId="0" borderId="8" xfId="0" applyFont="1" applyBorder="1"/>
    <xf numFmtId="0" fontId="2" fillId="0" borderId="9" xfId="0" applyFont="1" applyBorder="1"/>
    <xf numFmtId="0" fontId="2" fillId="0" borderId="5" xfId="0" applyFont="1" applyBorder="1"/>
    <xf numFmtId="0" fontId="2" fillId="0" borderId="10" xfId="0" applyFont="1" applyBorder="1"/>
    <xf numFmtId="0" fontId="0" fillId="0" borderId="6" xfId="0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4" fillId="0" borderId="14" xfId="0" applyFont="1" applyBorder="1" applyAlignment="1">
      <alignment vertical="top" wrapText="1"/>
    </xf>
    <xf numFmtId="0" fontId="8" fillId="7" borderId="13" xfId="0" applyFont="1" applyFill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4" xfId="0" applyFont="1" applyBorder="1" applyAlignment="1">
      <alignment vertical="center" wrapText="1"/>
    </xf>
    <xf numFmtId="0" fontId="0" fillId="0" borderId="6" xfId="0" applyBorder="1" applyAlignment="1">
      <alignment horizontal="center" vertical="top" wrapText="1"/>
    </xf>
    <xf numFmtId="0" fontId="0" fillId="0" borderId="11" xfId="0" applyBorder="1" applyAlignment="1">
      <alignment horizontal="center" vertical="top"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 applyAlignment="1">
      <alignment horizontal="center" vertical="top" wrapText="1"/>
    </xf>
    <xf numFmtId="0" fontId="0" fillId="0" borderId="0" xfId="0" applyBorder="1" applyAlignment="1">
      <alignment horizontal="center" vertical="top" wrapText="1"/>
    </xf>
    <xf numFmtId="0" fontId="0" fillId="0" borderId="9" xfId="0" applyBorder="1" applyAlignment="1">
      <alignment horizontal="center" vertical="top" wrapText="1"/>
    </xf>
    <xf numFmtId="0" fontId="0" fillId="0" borderId="5" xfId="0" applyBorder="1" applyAlignment="1">
      <alignment horizontal="center" vertical="top" wrapText="1"/>
    </xf>
    <xf numFmtId="0" fontId="0" fillId="0" borderId="12" xfId="0" applyBorder="1" applyAlignment="1">
      <alignment horizontal="center" vertical="top" wrapText="1"/>
    </xf>
    <xf numFmtId="0" fontId="0" fillId="0" borderId="10" xfId="0" applyBorder="1" applyAlignment="1">
      <alignment horizontal="center" vertical="top" wrapText="1"/>
    </xf>
  </cellXfs>
  <cellStyles count="1">
    <cellStyle name="Normal" xfId="0" builtinId="0"/>
  </cellStyles>
  <dxfs count="9">
    <dxf>
      <fill>
        <patternFill patternType="solid">
          <fgColor indexed="64"/>
          <bgColor theme="9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fill>
        <patternFill>
          <bgColor rgb="FFF4CCCC"/>
        </patternFill>
      </fill>
    </dxf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D9EAF7"/>
        </patternFill>
      </fill>
    </dxf>
    <dxf>
      <fill>
        <patternFill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/>
          <a:lstStyle/>
          <a:p>
            <a:r>
              <a:rPr lang="es-CL" b="0">
                <a:solidFill>
                  <a:srgbClr val="757575"/>
                </a:solidFill>
                <a:latin typeface="+mn-lt"/>
                <a:ea typeface="+mn-lt"/>
                <a:cs typeface="+mn-lt"/>
              </a:rPr>
              <a:t>Estado de tareas del Sprint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Tareas</c:v>
          </c:tx>
          <c:spPr>
            <a:solidFill>
              <a:schemeClr val="accent1"/>
            </a:solidFill>
            <a:ln cmpd="sng">
              <a:noFill/>
            </a:ln>
          </c:spPr>
          <c:invertIfNegative val="1"/>
          <c:val>
            <c:numRef>
              <c:f>'Resumen Sprint'!$E$4:$E$6</c:f>
              <c:numCache>
                <c:formatCode>General</c:formatCode>
                <c:ptCount val="3"/>
                <c:pt idx="0">
                  <c:v>6</c:v>
                </c:pt>
                <c:pt idx="1">
                  <c:v>0</c:v>
                </c:pt>
                <c:pt idx="2">
                  <c:v>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5="http://schemas.microsoft.com/office/drawing/2012/chart" uri="{02D57815-91ED-43cb-92C2-25804820EDAC}">
              <c15:filteredCategoryTitle>
                <c15:cat>
                  <mc:AlternateContent xmlns:mc="http://schemas.openxmlformats.org/markup-compatibility/2006">
                    <mc:Choice xmlns:c16ac="http://schemas.microsoft.com/office/drawing/2014/chart/ac" Requires="c16ac">
                      <c16ac:multiLvlStrLit>
                        <c:ptCount val="0"/>
                      </c16ac:multiLvlStrLit>
                    </mc:Choice>
                    <mc:Fallback>
                      <c:strLit/>
                    </mc:Fallback>
                  </mc:AlternateContent>
                </c15:cat>
              </c15:filteredCategoryTitle>
            </c:ext>
            <c:ext xmlns:c16="http://schemas.microsoft.com/office/drawing/2014/chart" uri="{C3380CC4-5D6E-409C-BE32-E72D297353CC}">
              <c16:uniqueId val="{00000000-B46B-4B48-9583-A64C797509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29487642"/>
        <c:axId val="1417177405"/>
      </c:barChart>
      <c:catAx>
        <c:axId val="1329487642"/>
        <c:scaling>
          <c:orientation val="minMax"/>
        </c:scaling>
        <c:delete val="0"/>
        <c:axPos val="b"/>
        <c:title>
          <c:overlay val="1"/>
          <c:txPr>
            <a:bodyPr anchorCtr="1"/>
            <a:lstStyle/>
            <a:p>
              <a:pPr>
                <a:defRPr b="0">
                  <a:solidFill>
                    <a:srgbClr val="000000"/>
                  </a:solidFill>
                  <a:latin typeface="+mn-lt"/>
                  <a:ea typeface="+mn-lt"/>
                  <a:cs typeface="+mn-lt"/>
                </a:defRPr>
              </a:pPr>
              <a:endParaRPr lang="es-CL"/>
            </a:p>
          </c:txPr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 anchorCtr="1"/>
          <a:lstStyle/>
          <a:p>
            <a:pPr>
              <a:defRPr b="0" i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CL"/>
          </a:p>
        </c:txPr>
        <c:crossAx val="1417177405"/>
        <c:crosses val="autoZero"/>
        <c:auto val="1"/>
        <c:lblAlgn val="ctr"/>
        <c:lblOffset val="100"/>
        <c:noMultiLvlLbl val="0"/>
      </c:catAx>
      <c:valAx>
        <c:axId val="14171774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overlay val="1"/>
          <c:txPr>
            <a:bodyPr anchorCtr="1"/>
            <a:lstStyle/>
            <a:p>
              <a:pPr>
                <a:defRPr b="0">
                  <a:solidFill>
                    <a:srgbClr val="000000"/>
                  </a:solidFill>
                  <a:latin typeface="+mn-lt"/>
                  <a:ea typeface="+mn-lt"/>
                  <a:cs typeface="+mn-lt"/>
                </a:defRPr>
              </a:pPr>
              <a:endParaRPr lang="es-CL"/>
            </a:p>
          </c:txPr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 anchorCtr="1"/>
          <a:lstStyle/>
          <a:p>
            <a:pPr>
              <a:defRPr b="0" i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CL"/>
          </a:p>
        </c:txPr>
        <c:crossAx val="1329487642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800100</xdr:colOff>
      <xdr:row>8</xdr:row>
      <xdr:rowOff>66675</xdr:rowOff>
    </xdr:from>
    <xdr:ext cx="7296150" cy="3619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1" displayName="Tabla_1" ref="A12:N20" headerRowDxfId="2" headerRowBorderDxfId="3">
  <tableColumns count="14">
    <tableColumn id="1" xr3:uid="{00000000-0010-0000-0000-000001000000}" name="PBI / HU"/>
    <tableColumn id="2" xr3:uid="{00000000-0010-0000-0000-000002000000}" name="Tarea ID"/>
    <tableColumn id="3" xr3:uid="{00000000-0010-0000-0000-000003000000}" name="Tarea / actividad"/>
    <tableColumn id="4" xr3:uid="{00000000-0010-0000-0000-000004000000}" name="Tipo"/>
    <tableColumn id="5" xr3:uid="{00000000-0010-0000-0000-000005000000}" name="Prioridad"/>
    <tableColumn id="6" xr3:uid="{00000000-0010-0000-0000-000006000000}" name="Estimación (h)"/>
    <tableColumn id="7" xr3:uid="{00000000-0010-0000-0000-000007000000}" name="Responsable"/>
    <tableColumn id="8" xr3:uid="{00000000-0010-0000-0000-000008000000}" name="Estado"/>
    <tableColumn id="9" xr3:uid="{00000000-0010-0000-0000-000009000000}" name="Dependencias / impedimentos"/>
    <tableColumn id="10" xr3:uid="{00000000-0010-0000-0000-00000A000000}" name="Criterio de término"/>
    <tableColumn id="11" xr3:uid="{00000000-0010-0000-0000-00000B000000}" name="Rama / PR"/>
    <tableColumn id="12" xr3:uid="{00000000-0010-0000-0000-00000C000000}" name="Día consumido"/>
    <tableColumn id="13" xr3:uid="{00000000-0010-0000-0000-00000D000000}" name="Horas reales"/>
    <tableColumn id="14" xr3:uid="{00000000-0010-0000-0000-00000E000000}" name="Notas"/>
  </tableColumns>
  <tableStyleInfo name="Sprint Backlog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_2" displayName="Tabla_2" ref="B5:P13" headerRowDxfId="0" headerRowBorderDxfId="1">
  <tableColumns count="15">
    <tableColumn id="1" xr3:uid="{00000000-0010-0000-0100-000001000000}" name="Tarea"/>
    <tableColumn id="2" xr3:uid="{00000000-0010-0000-0100-000002000000}" name="Horas estimadas"/>
    <tableColumn id="3" xr3:uid="{00000000-0010-0000-0100-000003000000}" name="Día 1 Cons."/>
    <tableColumn id="4" xr3:uid="{00000000-0010-0000-0100-000004000000}" name="Día 1 Rest."/>
    <tableColumn id="5" xr3:uid="{00000000-0010-0000-0100-000005000000}" name="Día 2 Cons."/>
    <tableColumn id="6" xr3:uid="{00000000-0010-0000-0100-000006000000}" name="Día 2 Rest."/>
    <tableColumn id="7" xr3:uid="{00000000-0010-0000-0100-000007000000}" name="Día 3 Cons."/>
    <tableColumn id="8" xr3:uid="{00000000-0010-0000-0100-000008000000}" name="Día 3 Rest."/>
    <tableColumn id="9" xr3:uid="{00000000-0010-0000-0100-000009000000}" name="Día 4 Cons."/>
    <tableColumn id="10" xr3:uid="{00000000-0010-0000-0100-00000A000000}" name="Día 4 Rest."/>
    <tableColumn id="11" xr3:uid="{00000000-0010-0000-0100-00000B000000}" name="Día 5 Cons."/>
    <tableColumn id="12" xr3:uid="{00000000-0010-0000-0100-00000C000000}" name="Día 5 Rest."/>
    <tableColumn id="13" xr3:uid="{00000000-0010-0000-0100-00000D000000}" name="Total consumido"/>
    <tableColumn id="14" xr3:uid="{00000000-0010-0000-0100-00000E000000}" name="Restante final"/>
    <tableColumn id="15" xr3:uid="{00000000-0010-0000-0100-00000F000000}" name="Observación"/>
  </tableColumns>
  <tableStyleInfo name="Control Diario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0"/>
  <sheetViews>
    <sheetView topLeftCell="A15" workbookViewId="0">
      <selection activeCell="A12" sqref="A12:N12"/>
    </sheetView>
  </sheetViews>
  <sheetFormatPr baseColWidth="10" defaultColWidth="12.625" defaultRowHeight="14.25"/>
  <cols>
    <col min="1" max="1" width="14" customWidth="1"/>
    <col min="2" max="2" width="12" customWidth="1"/>
    <col min="3" max="3" width="46" customWidth="1"/>
    <col min="4" max="4" width="14" customWidth="1"/>
    <col min="5" max="5" width="15.75" customWidth="1"/>
    <col min="6" max="6" width="19.5" customWidth="1"/>
    <col min="7" max="7" width="21.75" customWidth="1"/>
    <col min="8" max="8" width="14" customWidth="1"/>
    <col min="9" max="9" width="38" customWidth="1"/>
    <col min="10" max="10" width="42" customWidth="1"/>
    <col min="11" max="11" width="34" customWidth="1"/>
    <col min="12" max="13" width="14" customWidth="1"/>
    <col min="14" max="14" width="46" customWidth="1"/>
  </cols>
  <sheetData>
    <row r="1" spans="1:14" ht="27.75" customHeight="1">
      <c r="A1" s="17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9"/>
    </row>
    <row r="2" spans="1:14" ht="37.5" customHeight="1">
      <c r="A2" s="20" t="s">
        <v>107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2"/>
    </row>
    <row r="4" spans="1:14" ht="15">
      <c r="A4" s="1" t="s">
        <v>1</v>
      </c>
      <c r="B4" s="23" t="s">
        <v>2</v>
      </c>
      <c r="C4" s="18"/>
      <c r="D4" s="19"/>
    </row>
    <row r="5" spans="1:14">
      <c r="A5" s="3" t="s">
        <v>3</v>
      </c>
      <c r="B5" s="24" t="s">
        <v>4</v>
      </c>
      <c r="C5" s="18"/>
      <c r="D5" s="19"/>
    </row>
    <row r="6" spans="1:14">
      <c r="A6" s="3" t="s">
        <v>5</v>
      </c>
      <c r="B6" s="24" t="s">
        <v>6</v>
      </c>
      <c r="C6" s="18"/>
      <c r="D6" s="19"/>
    </row>
    <row r="7" spans="1:14">
      <c r="A7" s="3" t="s">
        <v>7</v>
      </c>
      <c r="B7" s="24" t="s">
        <v>108</v>
      </c>
      <c r="C7" s="18"/>
      <c r="D7" s="19"/>
    </row>
    <row r="8" spans="1:14">
      <c r="A8" s="3" t="s">
        <v>8</v>
      </c>
      <c r="B8" s="24" t="s">
        <v>9</v>
      </c>
      <c r="C8" s="18"/>
      <c r="D8" s="19"/>
    </row>
    <row r="9" spans="1:14">
      <c r="A9" s="15" t="s">
        <v>10</v>
      </c>
      <c r="B9" s="25" t="s">
        <v>109</v>
      </c>
      <c r="C9" s="21"/>
      <c r="D9" s="22"/>
      <c r="E9" s="16"/>
      <c r="F9" s="16"/>
      <c r="G9" s="16"/>
      <c r="H9" s="16"/>
      <c r="I9" s="16"/>
      <c r="J9" s="16"/>
      <c r="K9" s="16"/>
      <c r="L9" s="16"/>
      <c r="M9" s="16"/>
      <c r="N9" s="16"/>
    </row>
    <row r="10" spans="1:14" ht="22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ht="22.5" customHeight="1">
      <c r="A11" s="40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</row>
    <row r="12" spans="1:14" ht="36" customHeight="1">
      <c r="A12" s="42" t="s">
        <v>11</v>
      </c>
      <c r="B12" s="42" t="s">
        <v>12</v>
      </c>
      <c r="C12" s="42" t="s">
        <v>13</v>
      </c>
      <c r="D12" s="42" t="s">
        <v>14</v>
      </c>
      <c r="E12" s="42" t="s">
        <v>15</v>
      </c>
      <c r="F12" s="42" t="s">
        <v>16</v>
      </c>
      <c r="G12" s="42" t="s">
        <v>17</v>
      </c>
      <c r="H12" s="42" t="s">
        <v>5</v>
      </c>
      <c r="I12" s="42" t="s">
        <v>18</v>
      </c>
      <c r="J12" s="42" t="s">
        <v>19</v>
      </c>
      <c r="K12" s="42" t="s">
        <v>20</v>
      </c>
      <c r="L12" s="42" t="s">
        <v>21</v>
      </c>
      <c r="M12" s="42" t="s">
        <v>22</v>
      </c>
      <c r="N12" s="42" t="s">
        <v>23</v>
      </c>
    </row>
    <row r="13" spans="1:14" ht="48" customHeight="1">
      <c r="A13" s="41" t="s">
        <v>24</v>
      </c>
      <c r="B13" s="41" t="s">
        <v>25</v>
      </c>
      <c r="C13" s="41" t="s">
        <v>26</v>
      </c>
      <c r="D13" s="41" t="s">
        <v>27</v>
      </c>
      <c r="E13" s="41" t="s">
        <v>28</v>
      </c>
      <c r="F13" s="41"/>
      <c r="G13" s="41" t="s">
        <v>9</v>
      </c>
      <c r="H13" s="41" t="s">
        <v>29</v>
      </c>
      <c r="I13" s="41" t="s">
        <v>30</v>
      </c>
      <c r="J13" s="41" t="s">
        <v>31</v>
      </c>
      <c r="K13" s="41" t="s">
        <v>32</v>
      </c>
      <c r="L13" s="41"/>
      <c r="M13" s="41"/>
      <c r="N13" s="41" t="s">
        <v>33</v>
      </c>
    </row>
    <row r="14" spans="1:14" ht="48" customHeight="1">
      <c r="A14" s="3" t="s">
        <v>34</v>
      </c>
      <c r="B14" s="3" t="s">
        <v>35</v>
      </c>
      <c r="C14" s="3" t="s">
        <v>36</v>
      </c>
      <c r="D14" s="3" t="s">
        <v>27</v>
      </c>
      <c r="E14" s="3" t="s">
        <v>37</v>
      </c>
      <c r="F14" s="3"/>
      <c r="G14" s="3" t="s">
        <v>9</v>
      </c>
      <c r="H14" s="3" t="s">
        <v>29</v>
      </c>
      <c r="I14" s="3" t="s">
        <v>38</v>
      </c>
      <c r="J14" s="3" t="s">
        <v>39</v>
      </c>
      <c r="K14" s="3" t="s">
        <v>40</v>
      </c>
      <c r="L14" s="3"/>
      <c r="M14" s="3"/>
      <c r="N14" s="3" t="s">
        <v>41</v>
      </c>
    </row>
    <row r="15" spans="1:14" ht="48" customHeight="1">
      <c r="A15" s="3" t="s">
        <v>42</v>
      </c>
      <c r="B15" s="3" t="s">
        <v>43</v>
      </c>
      <c r="C15" s="3" t="s">
        <v>44</v>
      </c>
      <c r="D15" s="3" t="s">
        <v>27</v>
      </c>
      <c r="E15" s="3" t="s">
        <v>28</v>
      </c>
      <c r="F15" s="3"/>
      <c r="G15" s="3" t="s">
        <v>9</v>
      </c>
      <c r="H15" s="3" t="s">
        <v>29</v>
      </c>
      <c r="I15" s="3" t="s">
        <v>45</v>
      </c>
      <c r="J15" s="3" t="s">
        <v>46</v>
      </c>
      <c r="K15" s="3" t="s">
        <v>47</v>
      </c>
      <c r="L15" s="3"/>
      <c r="M15" s="3"/>
      <c r="N15" s="3" t="s">
        <v>48</v>
      </c>
    </row>
    <row r="16" spans="1:14" ht="48" customHeight="1">
      <c r="A16" s="3" t="s">
        <v>49</v>
      </c>
      <c r="B16" s="3" t="s">
        <v>50</v>
      </c>
      <c r="C16" s="3" t="s">
        <v>51</v>
      </c>
      <c r="D16" s="3" t="s">
        <v>52</v>
      </c>
      <c r="E16" s="3" t="s">
        <v>37</v>
      </c>
      <c r="F16" s="3"/>
      <c r="G16" s="3" t="s">
        <v>9</v>
      </c>
      <c r="H16" s="3" t="s">
        <v>29</v>
      </c>
      <c r="I16" s="3" t="s">
        <v>53</v>
      </c>
      <c r="J16" s="3" t="s">
        <v>54</v>
      </c>
      <c r="K16" s="3" t="s">
        <v>110</v>
      </c>
      <c r="L16" s="3"/>
      <c r="M16" s="3"/>
      <c r="N16" s="3" t="s">
        <v>55</v>
      </c>
    </row>
    <row r="17" spans="1:14" ht="48" customHeight="1">
      <c r="A17" s="3" t="s">
        <v>56</v>
      </c>
      <c r="B17" s="3" t="s">
        <v>57</v>
      </c>
      <c r="C17" s="3" t="s">
        <v>58</v>
      </c>
      <c r="D17" s="3" t="s">
        <v>59</v>
      </c>
      <c r="E17" s="3" t="s">
        <v>28</v>
      </c>
      <c r="F17" s="3"/>
      <c r="G17" s="3" t="s">
        <v>9</v>
      </c>
      <c r="H17" s="3" t="s">
        <v>29</v>
      </c>
      <c r="I17" s="3" t="s">
        <v>60</v>
      </c>
      <c r="J17" s="3" t="s">
        <v>111</v>
      </c>
      <c r="K17" s="3" t="s">
        <v>112</v>
      </c>
      <c r="L17" s="3"/>
      <c r="M17" s="3"/>
      <c r="N17" s="3" t="s">
        <v>113</v>
      </c>
    </row>
    <row r="18" spans="1:14" ht="48" customHeight="1">
      <c r="A18" s="3" t="s">
        <v>61</v>
      </c>
      <c r="B18" s="3" t="s">
        <v>62</v>
      </c>
      <c r="C18" s="3" t="s">
        <v>63</v>
      </c>
      <c r="D18" s="3" t="s">
        <v>27</v>
      </c>
      <c r="E18" s="3" t="s">
        <v>28</v>
      </c>
      <c r="F18" s="3"/>
      <c r="G18" s="3" t="s">
        <v>9</v>
      </c>
      <c r="H18" s="3" t="s">
        <v>64</v>
      </c>
      <c r="I18" s="3" t="s">
        <v>65</v>
      </c>
      <c r="J18" s="3" t="s">
        <v>66</v>
      </c>
      <c r="K18" s="3"/>
      <c r="L18" s="3"/>
      <c r="M18" s="3"/>
      <c r="N18" s="3" t="s">
        <v>114</v>
      </c>
    </row>
    <row r="19" spans="1:14" ht="48" customHeight="1">
      <c r="A19" s="3" t="s">
        <v>67</v>
      </c>
      <c r="B19" s="3" t="s">
        <v>68</v>
      </c>
      <c r="C19" s="3" t="s">
        <v>69</v>
      </c>
      <c r="D19" s="3" t="s">
        <v>27</v>
      </c>
      <c r="E19" s="3" t="s">
        <v>37</v>
      </c>
      <c r="F19" s="3"/>
      <c r="G19" s="3" t="s">
        <v>9</v>
      </c>
      <c r="H19" s="3" t="s">
        <v>64</v>
      </c>
      <c r="I19" s="3" t="s">
        <v>61</v>
      </c>
      <c r="J19" s="3" t="s">
        <v>70</v>
      </c>
      <c r="K19" s="3"/>
      <c r="L19" s="3"/>
      <c r="M19" s="3"/>
      <c r="N19" s="3" t="s">
        <v>115</v>
      </c>
    </row>
    <row r="20" spans="1:14" ht="85.5" customHeight="1">
      <c r="A20" s="5" t="s">
        <v>49</v>
      </c>
      <c r="B20" s="5" t="s">
        <v>71</v>
      </c>
      <c r="C20" s="5" t="s">
        <v>72</v>
      </c>
      <c r="D20" s="5" t="s">
        <v>73</v>
      </c>
      <c r="E20" s="5" t="s">
        <v>37</v>
      </c>
      <c r="F20" s="5"/>
      <c r="G20" s="5" t="s">
        <v>9</v>
      </c>
      <c r="H20" s="5" t="s">
        <v>29</v>
      </c>
      <c r="I20" s="5" t="s">
        <v>74</v>
      </c>
      <c r="J20" s="15" t="s">
        <v>75</v>
      </c>
      <c r="K20" s="15" t="s">
        <v>112</v>
      </c>
      <c r="L20" s="15"/>
      <c r="M20" s="15"/>
      <c r="N20" s="15" t="s">
        <v>116</v>
      </c>
    </row>
    <row r="21" spans="1:14" ht="15.75" customHeight="1"/>
    <row r="22" spans="1:14" ht="15.75" customHeight="1"/>
    <row r="23" spans="1:14" ht="15.75" customHeight="1"/>
    <row r="24" spans="1:14" ht="15.75" customHeight="1"/>
    <row r="25" spans="1:14" ht="15.75" customHeight="1"/>
    <row r="26" spans="1:14" ht="15.75" customHeight="1"/>
    <row r="27" spans="1:14" ht="15.75" customHeight="1"/>
    <row r="28" spans="1:14" ht="15.75" customHeight="1"/>
    <row r="29" spans="1:14" ht="15.75" customHeight="1"/>
    <row r="30" spans="1:14" ht="15.75" customHeight="1"/>
    <row r="31" spans="1:14" ht="15.75" customHeight="1"/>
    <row r="32" spans="1:14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B7:D7"/>
    <mergeCell ref="B8:D8"/>
    <mergeCell ref="B9:D9"/>
    <mergeCell ref="A1:N1"/>
    <mergeCell ref="A2:N2"/>
    <mergeCell ref="B4:D4"/>
    <mergeCell ref="B5:D5"/>
    <mergeCell ref="B6:D6"/>
  </mergeCells>
  <conditionalFormatting sqref="H13:H20">
    <cfRule type="expression" dxfId="8" priority="1">
      <formula>H13="Done"</formula>
    </cfRule>
    <cfRule type="expression" dxfId="7" priority="2">
      <formula>H13="Ready"</formula>
    </cfRule>
    <cfRule type="expression" dxfId="6" priority="3">
      <formula>H13="En progreso"</formula>
    </cfRule>
    <cfRule type="expression" dxfId="5" priority="4">
      <formula>H13="Pendiente"</formula>
    </cfRule>
    <cfRule type="expression" dxfId="4" priority="5">
      <formula>H13="Bloqueado"</formula>
    </cfRule>
  </conditionalFormatting>
  <dataValidations count="4">
    <dataValidation type="list" allowBlank="1" sqref="E13:E20" xr:uid="{00000000-0002-0000-0000-000000000000}">
      <formula1>"Crítica,Alta,Media,Baja"</formula1>
    </dataValidation>
    <dataValidation type="list" allowBlank="1" showDropDown="1" showErrorMessage="1" sqref="D13:D19" xr:uid="{00000000-0002-0000-0000-000001000000}">
      <formula1>"Backend,Testing"</formula1>
    </dataValidation>
    <dataValidation type="list" allowBlank="1" sqref="H13:H20" xr:uid="{00000000-0002-0000-0000-000002000000}">
      <formula1>"Pendiente,En progreso,Bloqueado,Done"</formula1>
    </dataValidation>
    <dataValidation type="custom" allowBlank="1" showDropDown="1" sqref="F13:F20" xr:uid="{00000000-0002-0000-0000-000003000000}"/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000"/>
  <sheetViews>
    <sheetView topLeftCell="A5" workbookViewId="0">
      <selection activeCell="E8" sqref="E8"/>
    </sheetView>
  </sheetViews>
  <sheetFormatPr baseColWidth="10" defaultColWidth="12.625" defaultRowHeight="14.25"/>
  <cols>
    <col min="1" max="2" width="14" customWidth="1"/>
    <col min="3" max="3" width="15.625" customWidth="1"/>
    <col min="4" max="12" width="13" customWidth="1"/>
    <col min="13" max="13" width="15" customWidth="1"/>
    <col min="14" max="14" width="17.125" customWidth="1"/>
    <col min="15" max="15" width="36" customWidth="1"/>
    <col min="16" max="16" width="25.125" customWidth="1"/>
  </cols>
  <sheetData>
    <row r="1" spans="1:16" ht="27.75" customHeight="1">
      <c r="A1" s="26" t="s">
        <v>76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9"/>
    </row>
    <row r="2" spans="1:16">
      <c r="A2" s="27" t="s">
        <v>117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2"/>
    </row>
    <row r="3" spans="1:16" ht="22.5" customHeight="1"/>
    <row r="4" spans="1:16" ht="22.5" customHeight="1"/>
    <row r="5" spans="1:16" ht="65.25" customHeight="1">
      <c r="A5" s="2"/>
      <c r="B5" s="42" t="s">
        <v>77</v>
      </c>
      <c r="C5" s="42" t="s">
        <v>78</v>
      </c>
      <c r="D5" s="42" t="s">
        <v>79</v>
      </c>
      <c r="E5" s="42" t="s">
        <v>80</v>
      </c>
      <c r="F5" s="42" t="s">
        <v>81</v>
      </c>
      <c r="G5" s="42" t="s">
        <v>82</v>
      </c>
      <c r="H5" s="42" t="s">
        <v>83</v>
      </c>
      <c r="I5" s="42" t="s">
        <v>84</v>
      </c>
      <c r="J5" s="42" t="s">
        <v>85</v>
      </c>
      <c r="K5" s="42" t="s">
        <v>86</v>
      </c>
      <c r="L5" s="42" t="s">
        <v>87</v>
      </c>
      <c r="M5" s="42" t="s">
        <v>88</v>
      </c>
      <c r="N5" s="42" t="s">
        <v>89</v>
      </c>
      <c r="O5" s="42" t="s">
        <v>90</v>
      </c>
      <c r="P5" s="42" t="s">
        <v>10</v>
      </c>
    </row>
    <row r="6" spans="1:16" ht="42.75" customHeight="1">
      <c r="A6" s="2"/>
      <c r="B6" s="43" t="s">
        <v>25</v>
      </c>
      <c r="C6" s="43"/>
      <c r="D6" s="43"/>
      <c r="E6" s="43">
        <f t="shared" ref="E6:E13" si="0">IF(D6="",C6,MAX(0,C6-D6))</f>
        <v>0</v>
      </c>
      <c r="F6" s="43"/>
      <c r="G6" s="43">
        <f t="shared" ref="G6:G13" si="1">IF(F6="",E6,MAX(0,E6-F6))</f>
        <v>0</v>
      </c>
      <c r="H6" s="43"/>
      <c r="I6" s="43">
        <f t="shared" ref="I6:I13" si="2">IF(H6="",G6,MAX(0,G6-H6))</f>
        <v>0</v>
      </c>
      <c r="J6" s="43"/>
      <c r="K6" s="43">
        <f t="shared" ref="K6:K13" si="3">IF(J6="",I6,MAX(0,I6-J6))</f>
        <v>0</v>
      </c>
      <c r="L6" s="43"/>
      <c r="M6" s="43">
        <f t="shared" ref="M6:M13" si="4">IF(L6="",K6,MAX(0,K6-L6))</f>
        <v>0</v>
      </c>
      <c r="N6" s="44">
        <f t="shared" ref="N6:N13" si="5">SUM(D6,F6,H6,J6,L6)</f>
        <v>0</v>
      </c>
      <c r="O6" s="44">
        <f t="shared" ref="O6:O13" si="6">MAX(0,C6-N6)</f>
        <v>0</v>
      </c>
      <c r="P6" s="43" t="s">
        <v>118</v>
      </c>
    </row>
    <row r="7" spans="1:16" ht="48.75" customHeight="1">
      <c r="A7" s="2"/>
      <c r="B7" s="6" t="s">
        <v>35</v>
      </c>
      <c r="C7" s="6"/>
      <c r="D7" s="6"/>
      <c r="E7" s="6">
        <f t="shared" si="0"/>
        <v>0</v>
      </c>
      <c r="F7" s="6"/>
      <c r="G7" s="6">
        <f t="shared" si="1"/>
        <v>0</v>
      </c>
      <c r="H7" s="6"/>
      <c r="I7" s="6">
        <f t="shared" si="2"/>
        <v>0</v>
      </c>
      <c r="J7" s="6"/>
      <c r="K7" s="6">
        <f t="shared" si="3"/>
        <v>0</v>
      </c>
      <c r="L7" s="6"/>
      <c r="M7" s="6">
        <f t="shared" si="4"/>
        <v>0</v>
      </c>
      <c r="N7" s="9">
        <f t="shared" si="5"/>
        <v>0</v>
      </c>
      <c r="O7" s="9">
        <f t="shared" si="6"/>
        <v>0</v>
      </c>
      <c r="P7" s="6" t="s">
        <v>118</v>
      </c>
    </row>
    <row r="8" spans="1:16" ht="51" customHeight="1">
      <c r="A8" s="2"/>
      <c r="B8" s="6" t="s">
        <v>43</v>
      </c>
      <c r="C8" s="6"/>
      <c r="D8" s="6"/>
      <c r="E8" s="6">
        <f t="shared" si="0"/>
        <v>0</v>
      </c>
      <c r="F8" s="6"/>
      <c r="G8" s="6">
        <f t="shared" si="1"/>
        <v>0</v>
      </c>
      <c r="H8" s="6"/>
      <c r="I8" s="6">
        <f t="shared" si="2"/>
        <v>0</v>
      </c>
      <c r="J8" s="6"/>
      <c r="K8" s="6">
        <f t="shared" si="3"/>
        <v>0</v>
      </c>
      <c r="L8" s="6"/>
      <c r="M8" s="6">
        <f t="shared" si="4"/>
        <v>0</v>
      </c>
      <c r="N8" s="9">
        <f t="shared" si="5"/>
        <v>0</v>
      </c>
      <c r="O8" s="9">
        <f t="shared" si="6"/>
        <v>0</v>
      </c>
      <c r="P8" s="6" t="s">
        <v>118</v>
      </c>
    </row>
    <row r="9" spans="1:16" ht="54" customHeight="1">
      <c r="A9" s="2"/>
      <c r="B9" s="6" t="s">
        <v>50</v>
      </c>
      <c r="C9" s="6"/>
      <c r="D9" s="6"/>
      <c r="E9" s="6">
        <f t="shared" si="0"/>
        <v>0</v>
      </c>
      <c r="F9" s="6"/>
      <c r="G9" s="6">
        <f t="shared" si="1"/>
        <v>0</v>
      </c>
      <c r="H9" s="6"/>
      <c r="I9" s="6">
        <f t="shared" si="2"/>
        <v>0</v>
      </c>
      <c r="J9" s="6"/>
      <c r="K9" s="6">
        <f t="shared" si="3"/>
        <v>0</v>
      </c>
      <c r="L9" s="6"/>
      <c r="M9" s="6">
        <f t="shared" si="4"/>
        <v>0</v>
      </c>
      <c r="N9" s="9">
        <f t="shared" si="5"/>
        <v>0</v>
      </c>
      <c r="O9" s="9">
        <f t="shared" si="6"/>
        <v>0</v>
      </c>
      <c r="P9" s="6" t="s">
        <v>118</v>
      </c>
    </row>
    <row r="10" spans="1:16" ht="74.25" customHeight="1">
      <c r="A10" s="2"/>
      <c r="B10" s="6" t="s">
        <v>57</v>
      </c>
      <c r="C10" s="6"/>
      <c r="D10" s="6"/>
      <c r="E10" s="6">
        <f t="shared" si="0"/>
        <v>0</v>
      </c>
      <c r="F10" s="6"/>
      <c r="G10" s="6">
        <f t="shared" si="1"/>
        <v>0</v>
      </c>
      <c r="H10" s="6"/>
      <c r="I10" s="6">
        <f t="shared" si="2"/>
        <v>0</v>
      </c>
      <c r="J10" s="6"/>
      <c r="K10" s="6">
        <f t="shared" si="3"/>
        <v>0</v>
      </c>
      <c r="L10" s="6"/>
      <c r="M10" s="6">
        <f t="shared" si="4"/>
        <v>0</v>
      </c>
      <c r="N10" s="9">
        <f t="shared" si="5"/>
        <v>0</v>
      </c>
      <c r="O10" s="9">
        <f t="shared" si="6"/>
        <v>0</v>
      </c>
      <c r="P10" s="6" t="s">
        <v>118</v>
      </c>
    </row>
    <row r="11" spans="1:16" ht="60.75" customHeight="1">
      <c r="A11" s="2"/>
      <c r="B11" s="6" t="s">
        <v>62</v>
      </c>
      <c r="C11" s="6"/>
      <c r="D11" s="6"/>
      <c r="E11" s="6">
        <f t="shared" si="0"/>
        <v>0</v>
      </c>
      <c r="F11" s="6"/>
      <c r="G11" s="6">
        <f t="shared" si="1"/>
        <v>0</v>
      </c>
      <c r="H11" s="6"/>
      <c r="I11" s="6">
        <f t="shared" si="2"/>
        <v>0</v>
      </c>
      <c r="J11" s="6"/>
      <c r="K11" s="6">
        <f t="shared" si="3"/>
        <v>0</v>
      </c>
      <c r="L11" s="6"/>
      <c r="M11" s="6">
        <f t="shared" si="4"/>
        <v>0</v>
      </c>
      <c r="N11" s="9">
        <f t="shared" si="5"/>
        <v>0</v>
      </c>
      <c r="O11" s="9">
        <f t="shared" si="6"/>
        <v>0</v>
      </c>
      <c r="P11" s="6" t="s">
        <v>119</v>
      </c>
    </row>
    <row r="12" spans="1:16" ht="66" customHeight="1">
      <c r="A12" s="2"/>
      <c r="B12" s="6" t="s">
        <v>68</v>
      </c>
      <c r="C12" s="6"/>
      <c r="D12" s="6"/>
      <c r="E12" s="6">
        <f t="shared" si="0"/>
        <v>0</v>
      </c>
      <c r="F12" s="6"/>
      <c r="G12" s="6">
        <f t="shared" si="1"/>
        <v>0</v>
      </c>
      <c r="H12" s="6"/>
      <c r="I12" s="6">
        <f t="shared" si="2"/>
        <v>0</v>
      </c>
      <c r="J12" s="6"/>
      <c r="K12" s="6">
        <f t="shared" si="3"/>
        <v>0</v>
      </c>
      <c r="L12" s="6"/>
      <c r="M12" s="6">
        <f t="shared" si="4"/>
        <v>0</v>
      </c>
      <c r="N12" s="9">
        <f t="shared" si="5"/>
        <v>0</v>
      </c>
      <c r="O12" s="9">
        <f t="shared" si="6"/>
        <v>0</v>
      </c>
      <c r="P12" s="6" t="s">
        <v>120</v>
      </c>
    </row>
    <row r="13" spans="1:16" ht="69.75" customHeight="1">
      <c r="A13" s="2"/>
      <c r="B13" s="6" t="s">
        <v>71</v>
      </c>
      <c r="C13" s="6"/>
      <c r="D13" s="6"/>
      <c r="E13" s="6">
        <f t="shared" si="0"/>
        <v>0</v>
      </c>
      <c r="F13" s="6"/>
      <c r="G13" s="6">
        <f t="shared" si="1"/>
        <v>0</v>
      </c>
      <c r="H13" s="6"/>
      <c r="I13" s="6">
        <f t="shared" si="2"/>
        <v>0</v>
      </c>
      <c r="J13" s="6"/>
      <c r="K13" s="6">
        <f t="shared" si="3"/>
        <v>0</v>
      </c>
      <c r="L13" s="6"/>
      <c r="M13" s="6">
        <f t="shared" si="4"/>
        <v>0</v>
      </c>
      <c r="N13" s="9">
        <f t="shared" si="5"/>
        <v>0</v>
      </c>
      <c r="O13" s="9">
        <f t="shared" si="6"/>
        <v>0</v>
      </c>
      <c r="P13" s="6" t="s">
        <v>121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P1"/>
    <mergeCell ref="A2:P2"/>
  </mergeCells>
  <dataValidations count="1">
    <dataValidation type="custom" allowBlank="1" showDropDown="1" sqref="N6:O13" xr:uid="{00000000-0002-0000-0100-000000000000}">
      <formula1>AND(ISNUMBER(N6),(NOT(OR(NOT(ISERROR(DATEVALUE(N6))), AND(ISNUMBER(N6), LEFT(CELL("format", N6))="D")))))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tabSelected="1" workbookViewId="0">
      <selection activeCell="H23" sqref="H23"/>
    </sheetView>
  </sheetViews>
  <sheetFormatPr baseColWidth="10" defaultColWidth="12.625" defaultRowHeight="14.25"/>
  <cols>
    <col min="1" max="1" width="30" customWidth="1"/>
    <col min="2" max="2" width="28.75" customWidth="1"/>
    <col min="3" max="3" width="11.75" customWidth="1"/>
    <col min="4" max="4" width="26" customWidth="1"/>
    <col min="5" max="5" width="18" customWidth="1"/>
    <col min="6" max="6" width="8.625" customWidth="1"/>
  </cols>
  <sheetData>
    <row r="1" spans="1:5" ht="20.25">
      <c r="A1" s="28" t="s">
        <v>91</v>
      </c>
      <c r="B1" s="29"/>
      <c r="C1" s="29"/>
      <c r="D1" s="29"/>
      <c r="E1" s="29"/>
    </row>
    <row r="3" spans="1:5" ht="15">
      <c r="A3" s="7" t="s">
        <v>92</v>
      </c>
      <c r="B3" s="7" t="s">
        <v>2</v>
      </c>
      <c r="D3" s="8" t="s">
        <v>5</v>
      </c>
      <c r="E3" s="8" t="s">
        <v>93</v>
      </c>
    </row>
    <row r="4" spans="1:5">
      <c r="A4" s="10" t="s">
        <v>94</v>
      </c>
      <c r="B4" s="10">
        <f>COUNTA('Sprint Backlog'!B13:B20)</f>
        <v>8</v>
      </c>
      <c r="D4" s="11" t="s">
        <v>29</v>
      </c>
      <c r="E4" s="11">
        <f t="shared" ref="E4:E6" si="0">B6</f>
        <v>6</v>
      </c>
    </row>
    <row r="5" spans="1:5">
      <c r="A5" s="10" t="s">
        <v>95</v>
      </c>
      <c r="B5" s="10" t="s">
        <v>96</v>
      </c>
      <c r="D5" s="11" t="s">
        <v>97</v>
      </c>
      <c r="E5" s="11">
        <f t="shared" si="0"/>
        <v>0</v>
      </c>
    </row>
    <row r="6" spans="1:5">
      <c r="A6" s="10" t="s">
        <v>98</v>
      </c>
      <c r="B6" s="10">
        <v>6</v>
      </c>
      <c r="D6" s="11" t="s">
        <v>64</v>
      </c>
      <c r="E6" s="11">
        <f t="shared" si="0"/>
        <v>2</v>
      </c>
    </row>
    <row r="7" spans="1:5">
      <c r="A7" s="10" t="s">
        <v>99</v>
      </c>
      <c r="B7" s="10">
        <v>0</v>
      </c>
      <c r="D7" s="12" t="s">
        <v>100</v>
      </c>
      <c r="E7" s="12">
        <v>0</v>
      </c>
    </row>
    <row r="8" spans="1:5">
      <c r="A8" s="10" t="s">
        <v>101</v>
      </c>
      <c r="B8" s="10">
        <v>2</v>
      </c>
    </row>
    <row r="9" spans="1:5">
      <c r="A9" s="10" t="s">
        <v>102</v>
      </c>
      <c r="B9" s="13">
        <v>0.75</v>
      </c>
    </row>
    <row r="10" spans="1:5" ht="71.25">
      <c r="A10" s="10" t="s">
        <v>103</v>
      </c>
      <c r="B10" s="13" t="s">
        <v>122</v>
      </c>
    </row>
    <row r="11" spans="1:5" ht="71.25">
      <c r="A11" s="10" t="s">
        <v>104</v>
      </c>
      <c r="B11" s="10" t="s">
        <v>123</v>
      </c>
    </row>
    <row r="14" spans="1:5">
      <c r="A14" s="30" t="s">
        <v>105</v>
      </c>
      <c r="B14" s="19"/>
      <c r="D14" s="31" t="s">
        <v>106</v>
      </c>
      <c r="E14" s="19"/>
    </row>
    <row r="15" spans="1:5">
      <c r="A15" s="32" t="s">
        <v>124</v>
      </c>
      <c r="B15" s="33"/>
      <c r="C15" s="16"/>
      <c r="D15" s="38" t="s">
        <v>125</v>
      </c>
      <c r="E15" s="33"/>
    </row>
    <row r="16" spans="1:5">
      <c r="A16" s="34"/>
      <c r="B16" s="35"/>
      <c r="D16" s="34"/>
      <c r="E16" s="35"/>
    </row>
    <row r="17" spans="1:5">
      <c r="A17" s="34"/>
      <c r="B17" s="35"/>
      <c r="D17" s="34"/>
      <c r="E17" s="35"/>
    </row>
    <row r="18" spans="1:5">
      <c r="A18" s="34"/>
      <c r="B18" s="35"/>
      <c r="D18" s="34"/>
      <c r="E18" s="35"/>
    </row>
    <row r="19" spans="1:5">
      <c r="A19" s="34"/>
      <c r="B19" s="35"/>
      <c r="D19" s="34"/>
      <c r="E19" s="35"/>
    </row>
    <row r="20" spans="1:5" ht="94.5" customHeight="1">
      <c r="A20" s="36"/>
      <c r="B20" s="37"/>
      <c r="D20" s="36"/>
      <c r="E20" s="37"/>
    </row>
    <row r="21" spans="1:5" ht="15.75" customHeight="1">
      <c r="A21" s="14"/>
      <c r="B21" s="14"/>
      <c r="D21" s="14"/>
      <c r="E21" s="14"/>
    </row>
    <row r="22" spans="1:5" ht="24" customHeight="1">
      <c r="A22" s="39" t="s">
        <v>126</v>
      </c>
      <c r="B22" s="18"/>
      <c r="C22" s="18"/>
      <c r="D22" s="18"/>
      <c r="E22" s="19"/>
    </row>
    <row r="23" spans="1:5" ht="72" customHeight="1">
      <c r="A23" s="45" t="s">
        <v>127</v>
      </c>
      <c r="B23" s="46"/>
      <c r="C23" s="46"/>
      <c r="D23" s="46"/>
      <c r="E23" s="47"/>
    </row>
    <row r="24" spans="1:5" ht="15.75" customHeight="1">
      <c r="A24" s="48"/>
      <c r="B24" s="49"/>
      <c r="C24" s="49"/>
      <c r="D24" s="49"/>
      <c r="E24" s="50"/>
    </row>
    <row r="25" spans="1:5" ht="15.75" customHeight="1">
      <c r="A25" s="48"/>
      <c r="B25" s="49"/>
      <c r="C25" s="49"/>
      <c r="D25" s="49"/>
      <c r="E25" s="50"/>
    </row>
    <row r="26" spans="1:5" ht="15.75" customHeight="1">
      <c r="A26" s="51"/>
      <c r="B26" s="52"/>
      <c r="C26" s="52"/>
      <c r="D26" s="52"/>
      <c r="E26" s="53"/>
    </row>
    <row r="27" spans="1:5" ht="15.75" customHeight="1"/>
    <row r="28" spans="1:5" ht="15.75" customHeight="1"/>
    <row r="29" spans="1:5" ht="15.75" customHeight="1"/>
    <row r="30" spans="1:5" ht="15.75" customHeight="1"/>
    <row r="31" spans="1:5" ht="15.75" customHeight="1"/>
    <row r="32" spans="1:5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22:E22"/>
    <mergeCell ref="A23:E26"/>
    <mergeCell ref="A1:E1"/>
    <mergeCell ref="A14:B14"/>
    <mergeCell ref="D14:E14"/>
    <mergeCell ref="A15:B20"/>
    <mergeCell ref="D15:E2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Sprint Backlog</vt:lpstr>
      <vt:lpstr>Control Diario</vt:lpstr>
      <vt:lpstr>Resumen Sprint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IMPUS CHILE</cp:lastModifiedBy>
  <dcterms:modified xsi:type="dcterms:W3CDTF">2026-09-09T16:34:12Z</dcterms:modified>
</cp:coreProperties>
</file>