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2\Downloads\"/>
    </mc:Choice>
  </mc:AlternateContent>
  <xr:revisionPtr revIDLastSave="0" documentId="13_ncr:1_{91EB5887-C46D-4A5D-B0AE-B4804FEAB5D3}" xr6:coauthVersionLast="47" xr6:coauthVersionMax="47" xr10:uidLastSave="{00000000-0000-0000-0000-000000000000}"/>
  <bookViews>
    <workbookView xWindow="-28920" yWindow="-120" windowWidth="29040" windowHeight="15960" activeTab="2" xr2:uid="{00000000-000D-0000-FFFF-FFFF00000000}"/>
  </bookViews>
  <sheets>
    <sheet name="Sprint Backlog" sheetId="1" r:id="rId1"/>
    <sheet name="Control Diario" sheetId="2" r:id="rId2"/>
    <sheet name="Resumen Sprin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2" l="1"/>
  <c r="E6" i="3"/>
  <c r="E5" i="3"/>
  <c r="E4" i="3"/>
  <c r="O13" i="2"/>
  <c r="N13" i="2"/>
  <c r="M13" i="2"/>
  <c r="K13" i="2"/>
  <c r="I13" i="2"/>
  <c r="G13" i="2"/>
  <c r="E13" i="2"/>
  <c r="O12" i="2"/>
  <c r="N12" i="2"/>
  <c r="M12" i="2"/>
  <c r="K12" i="2"/>
  <c r="I12" i="2"/>
  <c r="G12" i="2"/>
  <c r="E12" i="2"/>
  <c r="O11" i="2"/>
  <c r="N11" i="2"/>
  <c r="M11" i="2"/>
  <c r="K11" i="2"/>
  <c r="I11" i="2"/>
  <c r="G11" i="2"/>
  <c r="E11" i="2"/>
  <c r="O10" i="2"/>
  <c r="N10" i="2"/>
  <c r="M10" i="2"/>
  <c r="K10" i="2"/>
  <c r="I10" i="2"/>
  <c r="G10" i="2"/>
  <c r="E10" i="2"/>
  <c r="O9" i="2"/>
  <c r="N9" i="2"/>
  <c r="M9" i="2"/>
  <c r="K9" i="2"/>
  <c r="I9" i="2"/>
  <c r="G9" i="2"/>
  <c r="E9" i="2"/>
  <c r="O8" i="2"/>
  <c r="N8" i="2"/>
  <c r="M8" i="2"/>
  <c r="K8" i="2"/>
  <c r="I8" i="2"/>
  <c r="G8" i="2"/>
  <c r="E8" i="2"/>
  <c r="O7" i="2"/>
  <c r="N7" i="2"/>
  <c r="M7" i="2"/>
  <c r="K7" i="2"/>
  <c r="I7" i="2"/>
  <c r="G7" i="2"/>
  <c r="E7" i="2"/>
  <c r="O6" i="2"/>
  <c r="M6" i="2"/>
  <c r="K6" i="2"/>
  <c r="I6" i="2"/>
  <c r="G6" i="2"/>
  <c r="E6" i="2"/>
</calcChain>
</file>

<file path=xl/sharedStrings.xml><?xml version="1.0" encoding="utf-8"?>
<sst xmlns="http://schemas.openxmlformats.org/spreadsheetml/2006/main" count="226" uniqueCount="163">
  <si>
    <t>Campo</t>
  </si>
  <si>
    <t>Valor</t>
  </si>
  <si>
    <t>Sprint</t>
  </si>
  <si>
    <t>Estado</t>
  </si>
  <si>
    <t>Fecha de corte</t>
  </si>
  <si>
    <t>Responsables</t>
  </si>
  <si>
    <t>Equipo CitaJusta</t>
  </si>
  <si>
    <t>Observación</t>
  </si>
  <si>
    <t>PBI / HU</t>
  </si>
  <si>
    <t>Tarea ID</t>
  </si>
  <si>
    <t>Tarea / actividad</t>
  </si>
  <si>
    <t>Tipo</t>
  </si>
  <si>
    <t>Prioridad</t>
  </si>
  <si>
    <t>Estimación (h)</t>
  </si>
  <si>
    <t>Responsable</t>
  </si>
  <si>
    <t>Dependencias / impedimentos</t>
  </si>
  <si>
    <t>Criterio de término</t>
  </si>
  <si>
    <t>Rama / PR</t>
  </si>
  <si>
    <t>Día consumido</t>
  </si>
  <si>
    <t>Horas reales</t>
  </si>
  <si>
    <t>Notas</t>
  </si>
  <si>
    <t>Tarea</t>
  </si>
  <si>
    <t>Horas estimadas</t>
  </si>
  <si>
    <t>Día 1 Cons.</t>
  </si>
  <si>
    <t>Día 1 Rest.</t>
  </si>
  <si>
    <t>Día 2 Cons.</t>
  </si>
  <si>
    <t>Día 2 Rest.</t>
  </si>
  <si>
    <t>Día 3 Cons.</t>
  </si>
  <si>
    <t>Día 3 Rest.</t>
  </si>
  <si>
    <t>Día 4 Cons.</t>
  </si>
  <si>
    <t>Día 4 Rest.</t>
  </si>
  <si>
    <t>Día 5 Cons.</t>
  </si>
  <si>
    <t>Día 5 Rest.</t>
  </si>
  <si>
    <t>Total consumido</t>
  </si>
  <si>
    <t>Restante final</t>
  </si>
  <si>
    <t>Indicador</t>
  </si>
  <si>
    <t>Tareas</t>
  </si>
  <si>
    <t>Entregables logrados</t>
  </si>
  <si>
    <t>Pendientes del Sprint</t>
  </si>
  <si>
    <t>CITAJUSTA SPRINT BACKLOG — SPRINT 6 CERRADO + TRANSICIÓN A SPRINT 7</t>
  </si>
  <si>
    <t>Versión 1.5 · 22-09-2026 · Sprint 6 cerrado con 10/10 tareas · HU-025 y HU-026 completadas como cierre Web posterior antes de Desktop/Tauri.</t>
  </si>
  <si>
    <t>6</t>
  </si>
  <si>
    <t>Cerrado</t>
  </si>
  <si>
    <t>22-09-2026</t>
  </si>
  <si>
    <t>Sprint 6 permanece cerrado con 10/10 tareas Done. HU-025 y HU-026 se completaron después del cierre como checkpoint de transición hacia Sprint 7: inicio automático de reasignación al cancelar y búsqueda Web por fecha específica/flexible. No se reconstruyen dentro del Burndown de Sprint 6.</t>
  </si>
  <si>
    <t>HU-009</t>
  </si>
  <si>
    <t>S6-T01</t>
  </si>
  <si>
    <t>Generar oferta de cupo liberado</t>
  </si>
  <si>
    <t>Backend</t>
  </si>
  <si>
    <t>Crítica</t>
  </si>
  <si>
    <t>Done</t>
  </si>
  <si>
    <t>HU-006 + HU-007/008</t>
  </si>
  <si>
    <t>Oferta compatible creada con ranking/snapshot, TTL y trazabilidad</t>
  </si>
  <si>
    <t>feat/reassignment-offers</t>
  </si>
  <si>
    <t>Backend implementado y validado.</t>
  </si>
  <si>
    <t>HU-010</t>
  </si>
  <si>
    <t>S6-T02</t>
  </si>
  <si>
    <t>Aceptar una oferta vigente</t>
  </si>
  <si>
    <t>Aceptación transaccional transfiere la cita y reserva el cupo sin duplicados</t>
  </si>
  <si>
    <t>feat/accept-reassignment-offer</t>
  </si>
  <si>
    <t>Aceptación idempotente y concurrente validada.</t>
  </si>
  <si>
    <t>HU-011</t>
  </si>
  <si>
    <t>S6-T03</t>
  </si>
  <si>
    <t>Rechazar una oferta y continuar flujo</t>
  </si>
  <si>
    <t>Alta</t>
  </si>
  <si>
    <t>Rechazo deja waitlist activa y permite siguiente oferta o agotamiento</t>
  </si>
  <si>
    <t>feat/reject-reassignment-offer</t>
  </si>
  <si>
    <t>Rechazo/continuidad implementados.</t>
  </si>
  <si>
    <t>HU-016</t>
  </si>
  <si>
    <t>S6-T04</t>
  </si>
  <si>
    <t>Supervisar una reasignación</t>
  </si>
  <si>
    <t>HU-009/010/011</t>
  </si>
  <si>
    <t>Consulta read-only expone trazabilidad controlada del proceso</t>
  </si>
  <si>
    <t>feat/reassignment-supervision</t>
  </si>
  <si>
    <t>Supervisión backend completada.</t>
  </si>
  <si>
    <t>HU-018</t>
  </si>
  <si>
    <t>S6-T05</t>
  </si>
  <si>
    <t>Configurar reglas de reasignación</t>
  </si>
  <si>
    <t>Políticas versionadas e inmutables configurables por institución</t>
  </si>
  <si>
    <t>feat/reassignment-policy</t>
  </si>
  <si>
    <t>Políticas PRIORITY_THEN_WAITING / WAITING_THEN_PRIORITY implementadas.</t>
  </si>
  <si>
    <t>HU-021</t>
  </si>
  <si>
    <t>S6-T06</t>
  </si>
  <si>
    <t>Gestionar lista de espera y preferencias desde la Web</t>
  </si>
  <si>
    <t>Frontend / Integración</t>
  </si>
  <si>
    <t>HU-007/008 + apps/web</t>
  </si>
  <si>
    <t>Alta, preferencias, persistencia y retiro funcionan contra API/PostgreSQL real</t>
  </si>
  <si>
    <t>feat/web-waitlist · PR #89 · merge c291d17</t>
  </si>
  <si>
    <t>Web 56/56; development/seed 11/11; Waitlist E2E 24/24. Flujo manual completo PASS.</t>
  </si>
  <si>
    <t>HU-022</t>
  </si>
  <si>
    <t>S6-T07</t>
  </si>
  <si>
    <t>Gestionar ofertas de reasignación desde la Web</t>
  </si>
  <si>
    <t>HU-009/010/011 + apps/web</t>
  </si>
  <si>
    <t>Usuario puede ver oferta real, expiresAt, aceptar/rechazar y observar estado final sin lógica crítica en cliente</t>
  </si>
  <si>
    <t>feat/web-reassignment-offers · PR #93 · merge 5701ab7</t>
  </si>
  <si>
    <t>Web /ofertas validada con ACCEPT/REJECT/expiración visual. Mergeada a main mediante PR #93.</t>
  </si>
  <si>
    <t>Técnica</t>
  </si>
  <si>
    <t>S6-T08</t>
  </si>
  <si>
    <t>Validar flujo Web/API/PostgreSQL de ofertas y reasignación</t>
  </si>
  <si>
    <t>Testing / Integración</t>
  </si>
  <si>
    <t>Flujo integrado validado con contratos reales, concurrencia y errores controlados</t>
  </si>
  <si>
    <t>feat/web-reassignment-offers · PR #93</t>
  </si>
  <si>
    <t>Validación Web + API + PostgreSQL completada; ACCEPT transfiere cita existente y REJECT no crea cita.</t>
  </si>
  <si>
    <t>HU-023</t>
  </si>
  <si>
    <t>S6-T09</t>
  </si>
  <si>
    <t>Automatizar expiración de ofertas y continuidad de reasignación</t>
  </si>
  <si>
    <t>Backend / Runner</t>
  </si>
  <si>
    <t>HU-009/010/011 + HU-018</t>
  </si>
  <si>
    <t>Oferta vencida pasa a EXPIRED; continuidad idempotente genera siguiente oferta o cierra EXHAUSTED/CANCELLED de forma segura</t>
  </si>
  <si>
    <t>feat/automatic-offer-expiration · PR #96 · merge 109b1c9</t>
  </si>
  <si>
    <t>API 368/368; E2E expiry 10/10; reasignaciones 20/20; audit 11/11; policy 13/13; reports 15/15; checkpoint 1/1.</t>
  </si>
  <si>
    <t>HU-024</t>
  </si>
  <si>
    <t>S6-T10</t>
  </si>
  <si>
    <t>Implementar notificaciones internas</t>
  </si>
  <si>
    <t>Backend / Web</t>
  </si>
  <si>
    <t>HU-004/006/007/008/009/010/011/023</t>
  </si>
  <si>
    <t>Ocho eventos generan notificaciones deduplicadas; usuario consulta sólo las propias, marca lectura y Web muestra contador/listado persistente</t>
  </si>
  <si>
    <t>feat/internal-notifications · PR #99 · merge b1bff30</t>
  </si>
  <si>
    <t>API nuevos 6/6; E2E notifications 8/8; API dirigida 157/157; regresión crítica 87/87; Web 83/83; prueba manual lectura + logout/login PASS.</t>
  </si>
  <si>
    <t>HITOS POSTERIORES AL CIERRE DE SPRINT 6 — TRANSICIÓN A SPRINT 7</t>
  </si>
  <si>
    <t>HU-025</t>
  </si>
  <si>
    <t>TRANS-01</t>
  </si>
  <si>
    <t>Iniciar automáticamente la reasignación tras una cancelación</t>
  </si>
  <si>
    <t>Backend / Integración</t>
  </si>
  <si>
    <t>HU-006 + motor de reasignación</t>
  </si>
  <si>
    <t>Cancelación reutilizable inicia proceso/oferta automáticamente sin duplicados</t>
  </si>
  <si>
    <t>feat/automatic-reassignment-start · PR #105 · merge ea33e9f</t>
  </si>
  <si>
    <t>API 390/390; E2E 8/8; build/regresión PASS.</t>
  </si>
  <si>
    <t>HU-026</t>
  </si>
  <si>
    <t>TRANS-02</t>
  </si>
  <si>
    <t>Mejorar búsqueda de disponibilidad por fecha</t>
  </si>
  <si>
    <t>HU-003 + apps/web</t>
  </si>
  <si>
    <t>Fecha específica y modo flexible 7/14/30 consultan disponibilidad real con fechas locales válidas</t>
  </si>
  <si>
    <t>feat/availability-date-search · PR #107 · merge ec427a4</t>
  </si>
  <si>
    <t>Fechas 10/10; UI 16/16; Web 95/95; typecheck/build PASS; prueba manual 4 cupos.</t>
  </si>
  <si>
    <t>Siguiente foco: crear/refinar HU-027 e iniciar la fundación Desktop/Tauri institucional desde main limpio.</t>
  </si>
  <si>
    <t>CONTROL DIARIO SPRINT 6 — REGISTRO REAL DE HORAS / TRABAJO RESTANTE</t>
  </si>
  <si>
    <t>No se reconstruyen horas históricas. S6-T01 a S6-T10 pertenecen al Sprint 6 cerrado. HU-025 y HU-026 se completaron posteriormente como transición a Sprint 7 y no se incorporan retroactivamente al control horario ni al Burndown de Sprint 6.</t>
  </si>
  <si>
    <t>Tarea completada técnicamente; horas diarias no reconstruidas retrospectivamente.</t>
  </si>
  <si>
    <t>Tarea completada y validada; horas diarias no reconstruidas retrospectivamente.</t>
  </si>
  <si>
    <t>Validación integrada completada con escenarios reales de expiración, aceptación y rechazo.</t>
  </si>
  <si>
    <t>HU-023 completada y mergeada. Horas diarias no reconstruidas retrospectivamente.</t>
  </si>
  <si>
    <t>HU-024 completada y mergeada. Prueba manual de centro de notificaciones y persistencia de lectura PASS.</t>
  </si>
  <si>
    <t>CITAJUSTA — RESUMEN SPRINT 6 CERRADO + CHECKPOINT WEB POSTERIOR</t>
  </si>
  <si>
    <t>Tareas planificadas</t>
  </si>
  <si>
    <t>Estimación horaria</t>
  </si>
  <si>
    <t>Pendiente de Planning</t>
  </si>
  <si>
    <t>In Progress</t>
  </si>
  <si>
    <t>Tareas Done</t>
  </si>
  <si>
    <t>Pendiente</t>
  </si>
  <si>
    <t>Tareas Ready</t>
  </si>
  <si>
    <t>Ready</t>
  </si>
  <si>
    <t>Tareas pendientes</t>
  </si>
  <si>
    <t>Bloqueado</t>
  </si>
  <si>
    <t>Avance por tareas</t>
  </si>
  <si>
    <t>Validación actual</t>
  </si>
  <si>
    <t>Sprint 6: HU-023 API 368/368 + expiry 10/10 · HU-024 Web 83/83 + notifications 8/8 · Post-S6: HU-025 API 390/390/E2E 8/8 · HU-026 Web 95/95</t>
  </si>
  <si>
    <t>Pruebas actuales</t>
  </si>
  <si>
    <t>HU-023/HU-024 PASS dentro de Sprint 6. HU-025/HU-026 PASS como cierre Web posterior, sin alterar el Burndown histórico del Sprint 6.</t>
  </si>
  <si>
    <t>• HU-009/010/011/016/018 backend completadas.
• HU-021 Web waitlist/preferencias Done (PR #89).
• HU-022 Web ofertas Done (PR #93).
• HU-023 expiración automática/continuidad Done (PR #96).
• HU-024 notificaciones internas + centro Web Done (PR #99).
• RF-029/RF-030/RF-034 cerrados con evidencia automática y manual.</t>
  </si>
  <si>
    <t>• Ningún pendiente técnico dentro del Sprint 6 cerrado.
• HU-025 y HU-026 ya están Done y mergeadas.
• Actualizar evidencias Scrum con PR #105/#107.
• Siguiente bloque: fundación Desktop/Tauri institucional.</t>
  </si>
  <si>
    <t>Evidencia técnica al 22-09-2026</t>
  </si>
  <si>
    <t>Sprint 6 permanece cerrado con 10/10 tareas Done. HU-025 (PR #105) y HU-026 (PR #107) completaron posteriormente el cierre funcional del MVP Web y preparan el inicio de Sprint 7 / Desktop/Tauri.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</si>
</sst>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>
    <font>
      <sz val="11"/>
      <color rgb="FF000000"/>
      <name val="Carlito"/>
    </font>
    <font>
      <b/>
      <sz val="16"/>
      <color rgb="FFFFFFFF"/>
      <name val="Carlito"/>
    </font>
    <font>
      <sz val="11"/>
      <name val="Carlito"/>
    </font>
    <font>
      <b/>
      <sz val="15"/>
      <color rgb="FFFFFFFF"/>
      <name val="Carlito"/>
    </font>
    <font>
      <sz val="11"/>
      <color theme="1"/>
      <name val="Carlito"/>
    </font>
    <font>
      <b/>
      <sz val="11"/>
      <color rgb="FF1F1F1F"/>
      <name val="Carlito"/>
    </font>
    <font>
      <sz val="11"/>
      <color rgb="FF000000"/>
      <name val="Carlito"/>
    </font>
    <font>
      <sz val="11"/>
      <color theme="1"/>
      <name val="Carlito"/>
    </font>
    <font>
      <b/>
      <sz val="11"/>
      <color theme="1"/>
      <name val="Carlito"/>
    </font>
    <font>
      <b/>
      <sz val="11"/>
      <color rgb="FF000000"/>
      <name val="Carlito"/>
    </font>
    <font>
      <sz val="11"/>
      <color theme="1"/>
      <name val="Carlito"/>
    </font>
  </fonts>
  <fills count="9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F7F9FB"/>
      </patternFill>
    </fill>
    <fill>
      <patternFill patternType="solid">
        <fgColor rgb="FFB6D7A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5" fillId="4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4" fillId="0" borderId="4" xfId="0" applyFont="1" applyBorder="1" applyAlignment="1">
      <alignment vertical="top" wrapText="1"/>
    </xf>
    <xf numFmtId="0" fontId="8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9" fillId="4" borderId="4" xfId="0" applyFont="1" applyFill="1" applyBorder="1" applyAlignment="1">
      <alignment wrapText="1"/>
    </xf>
    <xf numFmtId="0" fontId="9" fillId="4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center" vertical="center" wrapText="1"/>
    </xf>
    <xf numFmtId="164" fontId="6" fillId="0" borderId="4" xfId="0" applyNumberFormat="1" applyFont="1" applyBorder="1" applyAlignment="1">
      <alignment wrapText="1"/>
    </xf>
    <xf numFmtId="0" fontId="6" fillId="0" borderId="0" xfId="0" applyFont="1" applyAlignment="1">
      <alignment wrapText="1"/>
    </xf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0" fontId="8" fillId="0" borderId="8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top" wrapText="1"/>
    </xf>
    <xf numFmtId="0" fontId="8" fillId="7" borderId="13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0" fillId="0" borderId="1" xfId="0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wrapText="1"/>
    </xf>
    <xf numFmtId="0" fontId="9" fillId="6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2" borderId="0" xfId="0" applyFont="1" applyFill="1" applyAlignment="1">
      <alignment horizontal="center"/>
    </xf>
    <xf numFmtId="0" fontId="9" fillId="6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2" fillId="0" borderId="7" xfId="0" applyFont="1" applyBorder="1" applyAlignment="1">
      <alignment wrapText="1"/>
    </xf>
    <xf numFmtId="0" fontId="2" fillId="0" borderId="8" xfId="0" applyFont="1" applyBorder="1"/>
    <xf numFmtId="0" fontId="2" fillId="0" borderId="9" xfId="0" applyFont="1" applyBorder="1"/>
    <xf numFmtId="0" fontId="2" fillId="0" borderId="5" xfId="0" applyFont="1" applyBorder="1"/>
    <xf numFmtId="0" fontId="2" fillId="0" borderId="10" xfId="0" applyFont="1" applyBorder="1"/>
    <xf numFmtId="0" fontId="0" fillId="0" borderId="6" xfId="0" applyBorder="1" applyAlignment="1">
      <alignment horizontal="center" vertical="center" wrapText="1"/>
    </xf>
    <xf numFmtId="0" fontId="6" fillId="0" borderId="15" xfId="0" applyFont="1" applyBorder="1" applyAlignment="1">
      <alignment wrapText="1"/>
    </xf>
    <xf numFmtId="0" fontId="0" fillId="0" borderId="15" xfId="0" applyBorder="1" applyAlignment="1">
      <alignment wrapText="1"/>
    </xf>
    <xf numFmtId="0" fontId="0" fillId="0" borderId="13" xfId="0" applyBorder="1"/>
    <xf numFmtId="0" fontId="0" fillId="0" borderId="13" xfId="0" applyBorder="1" applyAlignment="1">
      <alignment horizontal="center" vertical="center" wrapText="1"/>
    </xf>
    <xf numFmtId="0" fontId="0" fillId="8" borderId="13" xfId="0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vertical="center" wrapText="1"/>
    </xf>
    <xf numFmtId="0" fontId="10" fillId="0" borderId="15" xfId="0" applyFont="1" applyBorder="1"/>
  </cellXfs>
  <cellStyles count="1">
    <cellStyle name="Normal" xfId="0" builtinId="0"/>
  </cellStyles>
  <dxfs count="7">
    <dxf>
      <fill>
        <patternFill>
          <bgColor rgb="FFF4CCCC"/>
        </patternFill>
      </fill>
    </dxf>
    <dxf>
      <fill>
        <patternFill>
          <bgColor rgb="FFF2F2F2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E2F0D9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r>
              <a:rPr lang="es-CL">
                <a:solidFill>
                  <a:srgbClr val="757575"/>
                </a:solidFill>
                <a:latin typeface="+mn-lt"/>
                <a:ea typeface="+mn-lt"/>
                <a:cs typeface="+mn-lt"/>
              </a:rPr>
              <a:t>Estado de tareas del Sprint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Tareas</c:v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val>
            <c:numRef>
              <c:f>'Resumen Sprint'!$E$4:$E$6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0-B42E-4317-A336-14F6914AF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9487642"/>
        <c:axId val="1417177405"/>
      </c:barChart>
      <c:catAx>
        <c:axId val="1329487642"/>
        <c:scaling>
          <c:orientation val="minMax"/>
        </c:scaling>
        <c:delete val="0"/>
        <c:axPos val="b"/>
        <c:title>
          <c:overlay val="1"/>
          <c:txPr>
            <a:bodyPr anchorCtr="1"/>
            <a:lstStyle/>
            <a:p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  <a:endParaRPr lang="es-CL"/>
            </a:p>
          </c:txPr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 anchorCtr="1"/>
          <a:lstStyle/>
          <a:p>
            <a:pPr>
              <a:defRPr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417177405"/>
        <c:crosses val="autoZero"/>
        <c:auto val="1"/>
        <c:lblAlgn val="ctr"/>
        <c:lblOffset val="100"/>
        <c:noMultiLvlLbl val="0"/>
      </c:catAx>
      <c:valAx>
        <c:axId val="14171774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overlay val="1"/>
          <c:txPr>
            <a:bodyPr anchorCtr="1"/>
            <a:lstStyle/>
            <a:p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  <a:endParaRPr lang="es-CL"/>
            </a:p>
          </c:txPr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 anchorCtr="1"/>
          <a:lstStyle/>
          <a:p>
            <a:pPr>
              <a:defRPr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32948764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800100</xdr:colOff>
      <xdr:row>8</xdr:row>
      <xdr:rowOff>66675</xdr:rowOff>
    </xdr:from>
    <xdr:ext cx="7296150" cy="3619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12:N20" headerRowBorderDxfId="6">
  <tableColumns count="14">
    <tableColumn id="1" xr3:uid="{00000000-0010-0000-0000-000001000000}" name="PBI / HU"/>
    <tableColumn id="2" xr3:uid="{00000000-0010-0000-0000-000002000000}" name="Tarea ID"/>
    <tableColumn id="3" xr3:uid="{00000000-0010-0000-0000-000003000000}" name="Tarea / actividad"/>
    <tableColumn id="4" xr3:uid="{00000000-0010-0000-0000-000004000000}" name="Tipo"/>
    <tableColumn id="5" xr3:uid="{00000000-0010-0000-0000-000005000000}" name="Prioridad"/>
    <tableColumn id="6" xr3:uid="{00000000-0010-0000-0000-000006000000}" name="Estimación (h)"/>
    <tableColumn id="7" xr3:uid="{00000000-0010-0000-0000-000007000000}" name="Responsable"/>
    <tableColumn id="8" xr3:uid="{00000000-0010-0000-0000-000008000000}" name="Estado"/>
    <tableColumn id="9" xr3:uid="{00000000-0010-0000-0000-000009000000}" name="Dependencias / impedimentos"/>
    <tableColumn id="10" xr3:uid="{00000000-0010-0000-0000-00000A000000}" name="Criterio de término"/>
    <tableColumn id="11" xr3:uid="{00000000-0010-0000-0000-00000B000000}" name="Rama / PR"/>
    <tableColumn id="12" xr3:uid="{00000000-0010-0000-0000-00000C000000}" name="Día consumido"/>
    <tableColumn id="13" xr3:uid="{00000000-0010-0000-0000-00000D000000}" name="Horas reales"/>
    <tableColumn id="14" xr3:uid="{00000000-0010-0000-0000-00000E000000}" name="Notas"/>
  </tableColumns>
  <tableStyleInfo name="Sprint Backlog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2" displayName="Tabla_2" ref="B5:P13" headerRowBorderDxfId="5">
  <tableColumns count="15">
    <tableColumn id="1" xr3:uid="{00000000-0010-0000-0100-000001000000}" name="Tarea"/>
    <tableColumn id="2" xr3:uid="{00000000-0010-0000-0100-000002000000}" name="Horas estimadas"/>
    <tableColumn id="3" xr3:uid="{00000000-0010-0000-0100-000003000000}" name="Día 1 Cons."/>
    <tableColumn id="4" xr3:uid="{00000000-0010-0000-0100-000004000000}" name="Día 1 Rest."/>
    <tableColumn id="5" xr3:uid="{00000000-0010-0000-0100-000005000000}" name="Día 2 Cons."/>
    <tableColumn id="6" xr3:uid="{00000000-0010-0000-0100-000006000000}" name="Día 2 Rest."/>
    <tableColumn id="7" xr3:uid="{00000000-0010-0000-0100-000007000000}" name="Día 3 Cons."/>
    <tableColumn id="8" xr3:uid="{00000000-0010-0000-0100-000008000000}" name="Día 3 Rest."/>
    <tableColumn id="9" xr3:uid="{00000000-0010-0000-0100-000009000000}" name="Día 4 Cons."/>
    <tableColumn id="10" xr3:uid="{00000000-0010-0000-0100-00000A000000}" name="Día 4 Rest."/>
    <tableColumn id="11" xr3:uid="{00000000-0010-0000-0100-00000B000000}" name="Día 5 Cons."/>
    <tableColumn id="12" xr3:uid="{00000000-0010-0000-0100-00000C000000}" name="Día 5 Rest."/>
    <tableColumn id="13" xr3:uid="{00000000-0010-0000-0100-00000D000000}" name="Total consumido"/>
    <tableColumn id="14" xr3:uid="{00000000-0010-0000-0100-00000E000000}" name="Restante final"/>
    <tableColumn id="15" xr3:uid="{00000000-0010-0000-0100-00000F000000}" name="Observación"/>
  </tableColumns>
  <tableStyleInfo name="Control Diari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opLeftCell="A19" workbookViewId="0">
      <selection activeCell="C36" sqref="C36"/>
    </sheetView>
  </sheetViews>
  <sheetFormatPr baseColWidth="10" defaultColWidth="12.625" defaultRowHeight="14.25"/>
  <cols>
    <col min="1" max="1" width="14" customWidth="1"/>
    <col min="2" max="2" width="12" customWidth="1"/>
    <col min="3" max="3" width="46" customWidth="1"/>
    <col min="4" max="4" width="14" customWidth="1"/>
    <col min="5" max="5" width="15.75" customWidth="1"/>
    <col min="6" max="6" width="19.5" customWidth="1"/>
    <col min="7" max="7" width="21.75" customWidth="1"/>
    <col min="8" max="8" width="14" customWidth="1"/>
    <col min="9" max="9" width="38" customWidth="1"/>
    <col min="10" max="10" width="42" customWidth="1"/>
    <col min="11" max="11" width="34" customWidth="1"/>
    <col min="12" max="13" width="14" customWidth="1"/>
    <col min="14" max="14" width="46" customWidth="1"/>
  </cols>
  <sheetData>
    <row r="1" spans="1:14" ht="27.75" customHeight="1">
      <c r="A1" s="26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2"/>
    </row>
    <row r="2" spans="1:14" ht="37.5" customHeight="1">
      <c r="A2" s="27" t="s">
        <v>40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5"/>
    </row>
    <row r="4" spans="1:14" ht="15">
      <c r="A4" s="1" t="s">
        <v>0</v>
      </c>
      <c r="B4" s="28" t="s">
        <v>1</v>
      </c>
      <c r="C4" s="21"/>
      <c r="D4" s="22"/>
    </row>
    <row r="5" spans="1:14">
      <c r="A5" s="3" t="s">
        <v>2</v>
      </c>
      <c r="B5" s="20" t="s">
        <v>41</v>
      </c>
      <c r="C5" s="21"/>
      <c r="D5" s="22"/>
    </row>
    <row r="6" spans="1:14">
      <c r="A6" s="3" t="s">
        <v>3</v>
      </c>
      <c r="B6" s="20" t="s">
        <v>42</v>
      </c>
      <c r="C6" s="21"/>
      <c r="D6" s="22"/>
    </row>
    <row r="7" spans="1:14">
      <c r="A7" s="3" t="s">
        <v>4</v>
      </c>
      <c r="B7" s="20" t="s">
        <v>43</v>
      </c>
      <c r="C7" s="21"/>
      <c r="D7" s="22"/>
    </row>
    <row r="8" spans="1:14">
      <c r="A8" s="3" t="s">
        <v>5</v>
      </c>
      <c r="B8" s="20" t="s">
        <v>6</v>
      </c>
      <c r="C8" s="21"/>
      <c r="D8" s="22"/>
    </row>
    <row r="9" spans="1:14">
      <c r="A9" s="13" t="s">
        <v>7</v>
      </c>
      <c r="B9" s="23" t="s">
        <v>44</v>
      </c>
      <c r="C9" s="24"/>
      <c r="D9" s="25"/>
      <c r="E9" s="14"/>
      <c r="F9" s="14"/>
      <c r="G9" s="14"/>
      <c r="H9" s="14"/>
      <c r="I9" s="14"/>
      <c r="J9" s="14"/>
      <c r="K9" s="14"/>
      <c r="L9" s="14"/>
      <c r="M9" s="14"/>
      <c r="N9" s="14"/>
    </row>
    <row r="10" spans="1:14" ht="22.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ht="22.5" customHeight="1">
      <c r="A11" s="15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ht="36" customHeight="1">
      <c r="A12" s="17" t="s">
        <v>8</v>
      </c>
      <c r="B12" s="17" t="s">
        <v>9</v>
      </c>
      <c r="C12" s="17" t="s">
        <v>10</v>
      </c>
      <c r="D12" s="17" t="s">
        <v>11</v>
      </c>
      <c r="E12" s="17" t="s">
        <v>12</v>
      </c>
      <c r="F12" s="17" t="s">
        <v>13</v>
      </c>
      <c r="G12" s="17" t="s">
        <v>14</v>
      </c>
      <c r="H12" s="17" t="s">
        <v>3</v>
      </c>
      <c r="I12" s="17" t="s">
        <v>15</v>
      </c>
      <c r="J12" s="17" t="s">
        <v>16</v>
      </c>
      <c r="K12" s="17" t="s">
        <v>17</v>
      </c>
      <c r="L12" s="17" t="s">
        <v>18</v>
      </c>
      <c r="M12" s="17" t="s">
        <v>19</v>
      </c>
      <c r="N12" s="17" t="s">
        <v>20</v>
      </c>
    </row>
    <row r="13" spans="1:14" ht="48" customHeight="1">
      <c r="A13" s="16" t="s">
        <v>45</v>
      </c>
      <c r="B13" s="16" t="s">
        <v>46</v>
      </c>
      <c r="C13" s="16" t="s">
        <v>47</v>
      </c>
      <c r="D13" s="16" t="s">
        <v>48</v>
      </c>
      <c r="E13" s="16" t="s">
        <v>49</v>
      </c>
      <c r="F13" s="16"/>
      <c r="G13" s="16" t="s">
        <v>6</v>
      </c>
      <c r="H13" s="16" t="s">
        <v>50</v>
      </c>
      <c r="I13" s="16" t="s">
        <v>51</v>
      </c>
      <c r="J13" s="16" t="s">
        <v>52</v>
      </c>
      <c r="K13" s="16" t="s">
        <v>53</v>
      </c>
      <c r="L13" s="16"/>
      <c r="M13" s="16"/>
      <c r="N13" s="16" t="s">
        <v>54</v>
      </c>
    </row>
    <row r="14" spans="1:14" ht="48" customHeight="1">
      <c r="A14" s="3" t="s">
        <v>55</v>
      </c>
      <c r="B14" s="3" t="s">
        <v>56</v>
      </c>
      <c r="C14" s="3" t="s">
        <v>57</v>
      </c>
      <c r="D14" s="3" t="s">
        <v>48</v>
      </c>
      <c r="E14" s="3" t="s">
        <v>49</v>
      </c>
      <c r="F14" s="3"/>
      <c r="G14" s="3" t="s">
        <v>6</v>
      </c>
      <c r="H14" s="3" t="s">
        <v>50</v>
      </c>
      <c r="I14" s="3" t="s">
        <v>45</v>
      </c>
      <c r="J14" s="3" t="s">
        <v>58</v>
      </c>
      <c r="K14" s="3" t="s">
        <v>59</v>
      </c>
      <c r="L14" s="3"/>
      <c r="M14" s="3"/>
      <c r="N14" s="3" t="s">
        <v>60</v>
      </c>
    </row>
    <row r="15" spans="1:14" ht="48" customHeight="1">
      <c r="A15" s="3" t="s">
        <v>61</v>
      </c>
      <c r="B15" s="3" t="s">
        <v>62</v>
      </c>
      <c r="C15" s="3" t="s">
        <v>63</v>
      </c>
      <c r="D15" s="3" t="s">
        <v>48</v>
      </c>
      <c r="E15" s="3" t="s">
        <v>64</v>
      </c>
      <c r="F15" s="3"/>
      <c r="G15" s="3" t="s">
        <v>6</v>
      </c>
      <c r="H15" s="3" t="s">
        <v>50</v>
      </c>
      <c r="I15" s="3" t="s">
        <v>45</v>
      </c>
      <c r="J15" s="3" t="s">
        <v>65</v>
      </c>
      <c r="K15" s="3" t="s">
        <v>66</v>
      </c>
      <c r="L15" s="3"/>
      <c r="M15" s="3"/>
      <c r="N15" s="3" t="s">
        <v>67</v>
      </c>
    </row>
    <row r="16" spans="1:14" ht="48" customHeight="1">
      <c r="A16" s="3" t="s">
        <v>68</v>
      </c>
      <c r="B16" s="3" t="s">
        <v>69</v>
      </c>
      <c r="C16" s="3" t="s">
        <v>70</v>
      </c>
      <c r="D16" s="3" t="s">
        <v>48</v>
      </c>
      <c r="E16" s="3" t="s">
        <v>49</v>
      </c>
      <c r="F16" s="3"/>
      <c r="G16" s="3" t="s">
        <v>6</v>
      </c>
      <c r="H16" s="3" t="s">
        <v>50</v>
      </c>
      <c r="I16" s="3" t="s">
        <v>71</v>
      </c>
      <c r="J16" s="3" t="s">
        <v>72</v>
      </c>
      <c r="K16" s="3" t="s">
        <v>73</v>
      </c>
      <c r="L16" s="3"/>
      <c r="M16" s="3"/>
      <c r="N16" s="3" t="s">
        <v>74</v>
      </c>
    </row>
    <row r="17" spans="1:14" ht="48" customHeight="1">
      <c r="A17" s="3" t="s">
        <v>75</v>
      </c>
      <c r="B17" s="3" t="s">
        <v>76</v>
      </c>
      <c r="C17" s="3" t="s">
        <v>77</v>
      </c>
      <c r="D17" s="3" t="s">
        <v>48</v>
      </c>
      <c r="E17" s="3" t="s">
        <v>64</v>
      </c>
      <c r="F17" s="3"/>
      <c r="G17" s="3" t="s">
        <v>6</v>
      </c>
      <c r="H17" s="3" t="s">
        <v>50</v>
      </c>
      <c r="I17" s="3" t="s">
        <v>45</v>
      </c>
      <c r="J17" s="3" t="s">
        <v>78</v>
      </c>
      <c r="K17" s="3" t="s">
        <v>79</v>
      </c>
      <c r="L17" s="3"/>
      <c r="M17" s="3"/>
      <c r="N17" s="3" t="s">
        <v>80</v>
      </c>
    </row>
    <row r="18" spans="1:14" ht="48" customHeight="1">
      <c r="A18" s="3" t="s">
        <v>81</v>
      </c>
      <c r="B18" s="3" t="s">
        <v>82</v>
      </c>
      <c r="C18" s="3" t="s">
        <v>83</v>
      </c>
      <c r="D18" s="3" t="s">
        <v>84</v>
      </c>
      <c r="E18" s="3" t="s">
        <v>64</v>
      </c>
      <c r="F18" s="3"/>
      <c r="G18" s="3" t="s">
        <v>6</v>
      </c>
      <c r="H18" s="3" t="s">
        <v>50</v>
      </c>
      <c r="I18" s="3" t="s">
        <v>85</v>
      </c>
      <c r="J18" s="3" t="s">
        <v>86</v>
      </c>
      <c r="K18" s="3" t="s">
        <v>87</v>
      </c>
      <c r="L18" s="3"/>
      <c r="M18" s="3"/>
      <c r="N18" s="3" t="s">
        <v>88</v>
      </c>
    </row>
    <row r="19" spans="1:14" ht="48" customHeight="1">
      <c r="A19" s="3" t="s">
        <v>89</v>
      </c>
      <c r="B19" s="3" t="s">
        <v>90</v>
      </c>
      <c r="C19" s="3" t="s">
        <v>91</v>
      </c>
      <c r="D19" s="3" t="s">
        <v>84</v>
      </c>
      <c r="E19" s="3" t="s">
        <v>49</v>
      </c>
      <c r="F19" s="3"/>
      <c r="G19" s="3" t="s">
        <v>6</v>
      </c>
      <c r="H19" s="3" t="s">
        <v>50</v>
      </c>
      <c r="I19" s="3" t="s">
        <v>92</v>
      </c>
      <c r="J19" s="3" t="s">
        <v>93</v>
      </c>
      <c r="K19" s="3" t="s">
        <v>94</v>
      </c>
      <c r="L19" s="3"/>
      <c r="M19" s="3"/>
      <c r="N19" s="3" t="s">
        <v>95</v>
      </c>
    </row>
    <row r="20" spans="1:14" ht="85.5" customHeight="1">
      <c r="A20" s="52" t="s">
        <v>96</v>
      </c>
      <c r="B20" s="52" t="s">
        <v>97</v>
      </c>
      <c r="C20" s="52" t="s">
        <v>98</v>
      </c>
      <c r="D20" s="52" t="s">
        <v>99</v>
      </c>
      <c r="E20" s="52" t="s">
        <v>64</v>
      </c>
      <c r="F20" s="52"/>
      <c r="G20" s="52" t="s">
        <v>6</v>
      </c>
      <c r="H20" s="52" t="s">
        <v>50</v>
      </c>
      <c r="I20" s="52" t="s">
        <v>90</v>
      </c>
      <c r="J20" s="53" t="s">
        <v>100</v>
      </c>
      <c r="K20" s="53" t="s">
        <v>101</v>
      </c>
      <c r="L20" s="53"/>
      <c r="M20" s="53"/>
      <c r="N20" s="53" t="s">
        <v>102</v>
      </c>
    </row>
    <row r="21" spans="1:14" ht="57.95" customHeight="1">
      <c r="A21" s="55" t="s">
        <v>103</v>
      </c>
      <c r="B21" s="55" t="s">
        <v>104</v>
      </c>
      <c r="C21" s="55" t="s">
        <v>105</v>
      </c>
      <c r="D21" s="55" t="s">
        <v>106</v>
      </c>
      <c r="E21" s="55" t="s">
        <v>49</v>
      </c>
      <c r="F21" s="55"/>
      <c r="G21" s="55" t="s">
        <v>6</v>
      </c>
      <c r="H21" s="55" t="s">
        <v>50</v>
      </c>
      <c r="I21" s="55" t="s">
        <v>107</v>
      </c>
      <c r="J21" s="55" t="s">
        <v>108</v>
      </c>
      <c r="K21" s="55" t="s">
        <v>109</v>
      </c>
      <c r="L21" s="55"/>
      <c r="M21" s="55"/>
      <c r="N21" s="55" t="s">
        <v>110</v>
      </c>
    </row>
    <row r="22" spans="1:14" ht="57.95" customHeight="1">
      <c r="A22" s="55" t="s">
        <v>111</v>
      </c>
      <c r="B22" s="55" t="s">
        <v>112</v>
      </c>
      <c r="C22" s="55" t="s">
        <v>113</v>
      </c>
      <c r="D22" s="55" t="s">
        <v>114</v>
      </c>
      <c r="E22" s="55" t="s">
        <v>64</v>
      </c>
      <c r="F22" s="55"/>
      <c r="G22" s="55" t="s">
        <v>6</v>
      </c>
      <c r="H22" s="55" t="s">
        <v>50</v>
      </c>
      <c r="I22" s="55" t="s">
        <v>115</v>
      </c>
      <c r="J22" s="55" t="s">
        <v>116</v>
      </c>
      <c r="K22" s="55" t="s">
        <v>117</v>
      </c>
      <c r="L22" s="55"/>
      <c r="M22" s="55"/>
      <c r="N22" s="55" t="s">
        <v>118</v>
      </c>
    </row>
    <row r="23" spans="1:14" ht="57" customHeight="1">
      <c r="A23" s="56" t="s">
        <v>119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</row>
    <row r="24" spans="1:14" ht="48.75" customHeight="1">
      <c r="A24" s="55" t="s">
        <v>120</v>
      </c>
      <c r="B24" s="55" t="s">
        <v>121</v>
      </c>
      <c r="C24" s="55" t="s">
        <v>122</v>
      </c>
      <c r="D24" s="55" t="s">
        <v>123</v>
      </c>
      <c r="E24" s="55" t="s">
        <v>49</v>
      </c>
      <c r="F24" s="55"/>
      <c r="G24" s="55" t="s">
        <v>6</v>
      </c>
      <c r="H24" s="55" t="s">
        <v>50</v>
      </c>
      <c r="I24" s="55" t="s">
        <v>124</v>
      </c>
      <c r="J24" s="55" t="s">
        <v>125</v>
      </c>
      <c r="K24" s="55" t="s">
        <v>126</v>
      </c>
      <c r="L24" s="55"/>
      <c r="M24" s="55"/>
      <c r="N24" s="55" t="s">
        <v>127</v>
      </c>
    </row>
    <row r="25" spans="1:14" ht="48" customHeight="1">
      <c r="A25" s="55" t="s">
        <v>128</v>
      </c>
      <c r="B25" s="55" t="s">
        <v>129</v>
      </c>
      <c r="C25" s="55" t="s">
        <v>130</v>
      </c>
      <c r="D25" s="55" t="s">
        <v>84</v>
      </c>
      <c r="E25" s="55" t="s">
        <v>64</v>
      </c>
      <c r="F25" s="55"/>
      <c r="G25" s="55" t="s">
        <v>6</v>
      </c>
      <c r="H25" s="55" t="s">
        <v>50</v>
      </c>
      <c r="I25" s="55" t="s">
        <v>131</v>
      </c>
      <c r="J25" s="55" t="s">
        <v>132</v>
      </c>
      <c r="K25" s="55" t="s">
        <v>133</v>
      </c>
      <c r="L25" s="55"/>
      <c r="M25" s="55"/>
      <c r="N25" s="55" t="s">
        <v>134</v>
      </c>
    </row>
    <row r="26" spans="1:14" ht="38.25" customHeight="1">
      <c r="A26" s="54" t="s">
        <v>135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</row>
    <row r="27" spans="1:14" ht="15.75" customHeight="1"/>
    <row r="28" spans="1:14" ht="15.75" customHeight="1"/>
    <row r="29" spans="1:14" ht="15.75" customHeight="1"/>
    <row r="30" spans="1:14" ht="15.75" customHeight="1"/>
    <row r="31" spans="1:14" ht="15.75" customHeight="1"/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3:N23"/>
    <mergeCell ref="A26:N26"/>
    <mergeCell ref="B7:D7"/>
    <mergeCell ref="B8:D8"/>
    <mergeCell ref="B9:D9"/>
    <mergeCell ref="A1:N1"/>
    <mergeCell ref="A2:N2"/>
    <mergeCell ref="B4:D4"/>
    <mergeCell ref="B5:D5"/>
    <mergeCell ref="B6:D6"/>
  </mergeCells>
  <conditionalFormatting sqref="H13:H20">
    <cfRule type="expression" dxfId="4" priority="1">
      <formula>H13="Done"</formula>
    </cfRule>
    <cfRule type="expression" dxfId="3" priority="2">
      <formula>H13="Ready"</formula>
    </cfRule>
    <cfRule type="expression" dxfId="2" priority="3">
      <formula>H13="En progreso"</formula>
    </cfRule>
    <cfRule type="expression" dxfId="1" priority="4">
      <formula>H13="Pendiente"</formula>
    </cfRule>
    <cfRule type="expression" dxfId="0" priority="5">
      <formula>H13="Bloqueado"</formula>
    </cfRule>
  </conditionalFormatting>
  <dataValidations count="4">
    <dataValidation type="list" allowBlank="1" sqref="E13:E20" xr:uid="{00000000-0002-0000-0000-000000000000}">
      <formula1>"Crítica,Alta,Media,Baja"</formula1>
    </dataValidation>
    <dataValidation type="list" allowBlank="1" showDropDown="1" showErrorMessage="1" sqref="D13:D19" xr:uid="{00000000-0002-0000-0000-000001000000}">
      <formula1>"Backend,Testing"</formula1>
    </dataValidation>
    <dataValidation type="list" allowBlank="1" sqref="H13:H20" xr:uid="{00000000-0002-0000-0000-000002000000}">
      <formula1>"Pendiente,En progreso,Bloqueado,Done"</formula1>
    </dataValidation>
    <dataValidation type="custom" allowBlank="1" showDropDown="1" sqref="F13:F20" xr:uid="{00000000-0002-0000-0000-000003000000}"/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topLeftCell="C6" workbookViewId="0">
      <selection activeCell="N7" sqref="N7"/>
    </sheetView>
  </sheetViews>
  <sheetFormatPr baseColWidth="10" defaultColWidth="12.625" defaultRowHeight="14.25"/>
  <cols>
    <col min="1" max="2" width="14" customWidth="1"/>
    <col min="3" max="3" width="15.625" customWidth="1"/>
    <col min="4" max="12" width="13" customWidth="1"/>
    <col min="13" max="13" width="15" customWidth="1"/>
    <col min="14" max="14" width="17.125" customWidth="1"/>
    <col min="15" max="15" width="36" customWidth="1"/>
    <col min="16" max="16" width="25.125" customWidth="1"/>
  </cols>
  <sheetData>
    <row r="1" spans="1:16" ht="27.75" customHeight="1">
      <c r="A1" s="30" t="s">
        <v>136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2"/>
    </row>
    <row r="2" spans="1:16">
      <c r="A2" s="31" t="s">
        <v>137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5"/>
    </row>
    <row r="3" spans="1:16" ht="22.5" customHeight="1"/>
    <row r="4" spans="1:16" ht="22.5" customHeight="1"/>
    <row r="5" spans="1:16" ht="65.25" customHeight="1">
      <c r="A5" s="2"/>
      <c r="B5" s="17" t="s">
        <v>21</v>
      </c>
      <c r="C5" s="17" t="s">
        <v>22</v>
      </c>
      <c r="D5" s="17" t="s">
        <v>23</v>
      </c>
      <c r="E5" s="17" t="s">
        <v>24</v>
      </c>
      <c r="F5" s="17" t="s">
        <v>25</v>
      </c>
      <c r="G5" s="17" t="s">
        <v>26</v>
      </c>
      <c r="H5" s="17" t="s">
        <v>27</v>
      </c>
      <c r="I5" s="17" t="s">
        <v>28</v>
      </c>
      <c r="J5" s="17" t="s">
        <v>29</v>
      </c>
      <c r="K5" s="17" t="s">
        <v>30</v>
      </c>
      <c r="L5" s="17" t="s">
        <v>31</v>
      </c>
      <c r="M5" s="17" t="s">
        <v>32</v>
      </c>
      <c r="N5" s="17" t="s">
        <v>33</v>
      </c>
      <c r="O5" s="17" t="s">
        <v>34</v>
      </c>
      <c r="P5" s="17" t="s">
        <v>7</v>
      </c>
    </row>
    <row r="6" spans="1:16" ht="42.75" customHeight="1">
      <c r="A6" s="2"/>
      <c r="B6" s="18" t="s">
        <v>46</v>
      </c>
      <c r="C6" s="18"/>
      <c r="D6" s="18"/>
      <c r="E6" s="18" t="str">
        <f t="shared" ref="E6:E13" si="0">IF(C6="","",IF(D6="",C6,MAX(0,C6-D6)))</f>
        <v/>
      </c>
      <c r="F6" s="18"/>
      <c r="G6" s="18" t="str">
        <f t="shared" ref="G6:G13" si="1">IF(C6="","",IF(F6="",E6,MAX(0,E6-F6)))</f>
        <v/>
      </c>
      <c r="H6" s="18"/>
      <c r="I6" s="18" t="str">
        <f t="shared" ref="I6:I13" si="2">IF(C6="","",IF(H6="",G6,MAX(0,G6-H6)))</f>
        <v/>
      </c>
      <c r="J6" s="18"/>
      <c r="K6" s="18" t="str">
        <f t="shared" ref="K6:K13" si="3">IF(C6="","",IF(J6="",I6,MAX(0,I6-J6)))</f>
        <v/>
      </c>
      <c r="L6" s="18"/>
      <c r="M6" s="18" t="str">
        <f t="shared" ref="M6:M13" si="4">IF(C6="","",IF(L6="",K6,MAX(0,K6-L6)))</f>
        <v/>
      </c>
      <c r="N6" s="19" t="str">
        <f>IF(C6="","",SUM(D6,F6,H6,J6,L6))</f>
        <v/>
      </c>
      <c r="O6" s="19" t="str">
        <f t="shared" ref="O6:O13" si="5">IF(C6="","",MAX(0,C6-N6))</f>
        <v/>
      </c>
      <c r="P6" s="18" t="s">
        <v>138</v>
      </c>
    </row>
    <row r="7" spans="1:16" ht="48.75" customHeight="1">
      <c r="A7" s="2"/>
      <c r="B7" s="5" t="s">
        <v>56</v>
      </c>
      <c r="C7" s="5"/>
      <c r="D7" s="5"/>
      <c r="E7" s="5" t="str">
        <f t="shared" si="0"/>
        <v/>
      </c>
      <c r="F7" s="5"/>
      <c r="G7" s="5" t="str">
        <f t="shared" si="1"/>
        <v/>
      </c>
      <c r="H7" s="5"/>
      <c r="I7" s="5" t="str">
        <f t="shared" si="2"/>
        <v/>
      </c>
      <c r="J7" s="5"/>
      <c r="K7" s="5" t="str">
        <f t="shared" si="3"/>
        <v/>
      </c>
      <c r="L7" s="5"/>
      <c r="M7" s="5" t="str">
        <f t="shared" si="4"/>
        <v/>
      </c>
      <c r="N7" s="8" t="str">
        <f t="shared" ref="N6:N13" si="6">IF(C7="","",SUM(D7,F7,H7,J7,L7))</f>
        <v/>
      </c>
      <c r="O7" s="8" t="str">
        <f t="shared" si="5"/>
        <v/>
      </c>
      <c r="P7" s="5" t="s">
        <v>138</v>
      </c>
    </row>
    <row r="8" spans="1:16" ht="51" customHeight="1">
      <c r="A8" s="2"/>
      <c r="B8" s="5" t="s">
        <v>62</v>
      </c>
      <c r="C8" s="5"/>
      <c r="D8" s="5"/>
      <c r="E8" s="5" t="str">
        <f t="shared" si="0"/>
        <v/>
      </c>
      <c r="F8" s="5"/>
      <c r="G8" s="5" t="str">
        <f t="shared" si="1"/>
        <v/>
      </c>
      <c r="H8" s="5"/>
      <c r="I8" s="5" t="str">
        <f t="shared" si="2"/>
        <v/>
      </c>
      <c r="J8" s="5"/>
      <c r="K8" s="5" t="str">
        <f t="shared" si="3"/>
        <v/>
      </c>
      <c r="L8" s="5"/>
      <c r="M8" s="5" t="str">
        <f t="shared" si="4"/>
        <v/>
      </c>
      <c r="N8" s="8" t="str">
        <f t="shared" si="6"/>
        <v/>
      </c>
      <c r="O8" s="8" t="str">
        <f t="shared" si="5"/>
        <v/>
      </c>
      <c r="P8" s="5" t="s">
        <v>138</v>
      </c>
    </row>
    <row r="9" spans="1:16" ht="54" customHeight="1">
      <c r="A9" s="2"/>
      <c r="B9" s="5" t="s">
        <v>69</v>
      </c>
      <c r="C9" s="5"/>
      <c r="D9" s="5"/>
      <c r="E9" s="5" t="str">
        <f t="shared" si="0"/>
        <v/>
      </c>
      <c r="F9" s="5"/>
      <c r="G9" s="5" t="str">
        <f t="shared" si="1"/>
        <v/>
      </c>
      <c r="H9" s="5"/>
      <c r="I9" s="5" t="str">
        <f t="shared" si="2"/>
        <v/>
      </c>
      <c r="J9" s="5"/>
      <c r="K9" s="5" t="str">
        <f t="shared" si="3"/>
        <v/>
      </c>
      <c r="L9" s="5"/>
      <c r="M9" s="5" t="str">
        <f t="shared" si="4"/>
        <v/>
      </c>
      <c r="N9" s="8" t="str">
        <f t="shared" si="6"/>
        <v/>
      </c>
      <c r="O9" s="8" t="str">
        <f t="shared" si="5"/>
        <v/>
      </c>
      <c r="P9" s="5" t="s">
        <v>138</v>
      </c>
    </row>
    <row r="10" spans="1:16" ht="74.25" customHeight="1">
      <c r="A10" s="2"/>
      <c r="B10" s="5" t="s">
        <v>76</v>
      </c>
      <c r="C10" s="5"/>
      <c r="D10" s="5"/>
      <c r="E10" s="5" t="str">
        <f t="shared" si="0"/>
        <v/>
      </c>
      <c r="F10" s="5"/>
      <c r="G10" s="5" t="str">
        <f t="shared" si="1"/>
        <v/>
      </c>
      <c r="H10" s="5"/>
      <c r="I10" s="5" t="str">
        <f t="shared" si="2"/>
        <v/>
      </c>
      <c r="J10" s="5"/>
      <c r="K10" s="5" t="str">
        <f t="shared" si="3"/>
        <v/>
      </c>
      <c r="L10" s="5"/>
      <c r="M10" s="5" t="str">
        <f t="shared" si="4"/>
        <v/>
      </c>
      <c r="N10" s="8" t="str">
        <f t="shared" si="6"/>
        <v/>
      </c>
      <c r="O10" s="8" t="str">
        <f t="shared" si="5"/>
        <v/>
      </c>
      <c r="P10" s="5" t="s">
        <v>138</v>
      </c>
    </row>
    <row r="11" spans="1:16" ht="60.75" customHeight="1">
      <c r="A11" s="2"/>
      <c r="B11" s="5" t="s">
        <v>82</v>
      </c>
      <c r="C11" s="5"/>
      <c r="D11" s="5"/>
      <c r="E11" s="5" t="str">
        <f t="shared" si="0"/>
        <v/>
      </c>
      <c r="F11" s="5"/>
      <c r="G11" s="5" t="str">
        <f t="shared" si="1"/>
        <v/>
      </c>
      <c r="H11" s="5"/>
      <c r="I11" s="5" t="str">
        <f t="shared" si="2"/>
        <v/>
      </c>
      <c r="J11" s="5"/>
      <c r="K11" s="5" t="str">
        <f t="shared" si="3"/>
        <v/>
      </c>
      <c r="L11" s="5"/>
      <c r="M11" s="5" t="str">
        <f t="shared" si="4"/>
        <v/>
      </c>
      <c r="N11" s="8" t="str">
        <f t="shared" si="6"/>
        <v/>
      </c>
      <c r="O11" s="8" t="str">
        <f t="shared" si="5"/>
        <v/>
      </c>
      <c r="P11" s="5" t="s">
        <v>138</v>
      </c>
    </row>
    <row r="12" spans="1:16" ht="66" customHeight="1">
      <c r="A12" s="2"/>
      <c r="B12" s="5" t="s">
        <v>90</v>
      </c>
      <c r="C12" s="5"/>
      <c r="D12" s="5"/>
      <c r="E12" s="5" t="str">
        <f t="shared" si="0"/>
        <v/>
      </c>
      <c r="F12" s="5"/>
      <c r="G12" s="5" t="str">
        <f t="shared" si="1"/>
        <v/>
      </c>
      <c r="H12" s="5"/>
      <c r="I12" s="5" t="str">
        <f t="shared" si="2"/>
        <v/>
      </c>
      <c r="J12" s="5"/>
      <c r="K12" s="5" t="str">
        <f t="shared" si="3"/>
        <v/>
      </c>
      <c r="L12" s="5"/>
      <c r="M12" s="5" t="str">
        <f t="shared" si="4"/>
        <v/>
      </c>
      <c r="N12" s="8" t="str">
        <f t="shared" si="6"/>
        <v/>
      </c>
      <c r="O12" s="8" t="str">
        <f t="shared" si="5"/>
        <v/>
      </c>
      <c r="P12" s="5" t="s">
        <v>139</v>
      </c>
    </row>
    <row r="13" spans="1:16" ht="69.75" customHeight="1">
      <c r="A13" s="2"/>
      <c r="B13" s="57" t="s">
        <v>97</v>
      </c>
      <c r="C13" s="57"/>
      <c r="D13" s="57"/>
      <c r="E13" s="57" t="str">
        <f t="shared" si="0"/>
        <v/>
      </c>
      <c r="F13" s="57"/>
      <c r="G13" s="57" t="str">
        <f t="shared" si="1"/>
        <v/>
      </c>
      <c r="H13" s="57"/>
      <c r="I13" s="57" t="str">
        <f t="shared" si="2"/>
        <v/>
      </c>
      <c r="J13" s="57"/>
      <c r="K13" s="57" t="str">
        <f t="shared" si="3"/>
        <v/>
      </c>
      <c r="L13" s="57"/>
      <c r="M13" s="57" t="str">
        <f t="shared" si="4"/>
        <v/>
      </c>
      <c r="N13" s="58" t="str">
        <f t="shared" si="6"/>
        <v/>
      </c>
      <c r="O13" s="58" t="str">
        <f t="shared" si="5"/>
        <v/>
      </c>
      <c r="P13" s="57" t="s">
        <v>140</v>
      </c>
    </row>
    <row r="14" spans="1:16" ht="38.1" customHeight="1">
      <c r="A14" s="14"/>
      <c r="B14" s="55" t="s">
        <v>104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 t="s">
        <v>141</v>
      </c>
    </row>
    <row r="15" spans="1:16" ht="38.1" customHeight="1">
      <c r="A15" s="14"/>
      <c r="B15" s="55" t="s">
        <v>112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 t="s">
        <v>142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P1"/>
    <mergeCell ref="A2:P2"/>
  </mergeCells>
  <dataValidations count="1">
    <dataValidation type="custom" allowBlank="1" showDropDown="1" sqref="N6:O13" xr:uid="{00000000-0002-0000-0100-000000000000}">
      <formula1>AND(ISNUMBER(N6),(NOT(OR(NOT(ISERROR(DATEVALUE(N6))), AND(ISNUMBER(N6), LEFT(CELL("format", N6))="D")))))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tabSelected="1" topLeftCell="A10" workbookViewId="0">
      <selection activeCell="I23" sqref="I23"/>
    </sheetView>
  </sheetViews>
  <sheetFormatPr baseColWidth="10" defaultColWidth="12.625" defaultRowHeight="14.25"/>
  <cols>
    <col min="1" max="1" width="30" customWidth="1"/>
    <col min="2" max="2" width="28.75" customWidth="1"/>
    <col min="3" max="3" width="11.75" customWidth="1"/>
    <col min="4" max="4" width="26" customWidth="1"/>
    <col min="5" max="5" width="18" customWidth="1"/>
    <col min="6" max="6" width="8.625" customWidth="1"/>
  </cols>
  <sheetData>
    <row r="1" spans="1:5" ht="20.25">
      <c r="A1" s="42" t="s">
        <v>143</v>
      </c>
      <c r="B1" s="29"/>
      <c r="C1" s="29"/>
      <c r="D1" s="29"/>
      <c r="E1" s="29"/>
    </row>
    <row r="3" spans="1:5" ht="15">
      <c r="A3" s="6" t="s">
        <v>35</v>
      </c>
      <c r="B3" s="6" t="s">
        <v>1</v>
      </c>
      <c r="D3" s="7" t="s">
        <v>3</v>
      </c>
      <c r="E3" s="7" t="s">
        <v>36</v>
      </c>
    </row>
    <row r="4" spans="1:5">
      <c r="A4" s="9" t="s">
        <v>144</v>
      </c>
      <c r="B4" s="9">
        <v>10</v>
      </c>
      <c r="D4" s="10" t="s">
        <v>50</v>
      </c>
      <c r="E4" s="10">
        <f t="shared" ref="E4:E6" si="0">B6</f>
        <v>10</v>
      </c>
    </row>
    <row r="5" spans="1:5">
      <c r="A5" s="9" t="s">
        <v>145</v>
      </c>
      <c r="B5" s="9" t="s">
        <v>146</v>
      </c>
      <c r="D5" s="10" t="s">
        <v>147</v>
      </c>
      <c r="E5" s="10">
        <f t="shared" si="0"/>
        <v>0</v>
      </c>
    </row>
    <row r="6" spans="1:5">
      <c r="A6" s="9" t="s">
        <v>148</v>
      </c>
      <c r="B6" s="9">
        <v>10</v>
      </c>
      <c r="D6" s="10" t="s">
        <v>149</v>
      </c>
      <c r="E6" s="10">
        <f t="shared" si="0"/>
        <v>0</v>
      </c>
    </row>
    <row r="7" spans="1:5">
      <c r="A7" s="9" t="s">
        <v>150</v>
      </c>
      <c r="B7" s="9">
        <v>0</v>
      </c>
      <c r="D7" s="59" t="s">
        <v>151</v>
      </c>
      <c r="E7" s="59">
        <v>0</v>
      </c>
    </row>
    <row r="8" spans="1:5">
      <c r="A8" s="9" t="s">
        <v>152</v>
      </c>
      <c r="B8" s="9">
        <v>0</v>
      </c>
      <c r="D8" s="55" t="s">
        <v>153</v>
      </c>
      <c r="E8" s="55">
        <v>0</v>
      </c>
    </row>
    <row r="9" spans="1:5">
      <c r="A9" s="9" t="s">
        <v>154</v>
      </c>
      <c r="B9" s="11">
        <v>1</v>
      </c>
    </row>
    <row r="10" spans="1:5" ht="71.25">
      <c r="A10" s="9" t="s">
        <v>155</v>
      </c>
      <c r="B10" s="11" t="s">
        <v>156</v>
      </c>
    </row>
    <row r="11" spans="1:5" ht="71.25">
      <c r="A11" s="9" t="s">
        <v>157</v>
      </c>
      <c r="B11" s="9" t="s">
        <v>158</v>
      </c>
    </row>
    <row r="14" spans="1:5">
      <c r="A14" s="43" t="s">
        <v>37</v>
      </c>
      <c r="B14" s="22"/>
      <c r="D14" s="44" t="s">
        <v>38</v>
      </c>
      <c r="E14" s="22"/>
    </row>
    <row r="15" spans="1:5">
      <c r="A15" s="45" t="s">
        <v>159</v>
      </c>
      <c r="B15" s="46"/>
      <c r="C15" s="14"/>
      <c r="D15" s="51" t="s">
        <v>160</v>
      </c>
      <c r="E15" s="46"/>
    </row>
    <row r="16" spans="1:5">
      <c r="A16" s="47"/>
      <c r="B16" s="48"/>
      <c r="D16" s="47"/>
      <c r="E16" s="48"/>
    </row>
    <row r="17" spans="1:5">
      <c r="A17" s="47"/>
      <c r="B17" s="48"/>
      <c r="D17" s="47"/>
      <c r="E17" s="48"/>
    </row>
    <row r="18" spans="1:5">
      <c r="A18" s="47"/>
      <c r="B18" s="48"/>
      <c r="D18" s="47"/>
      <c r="E18" s="48"/>
    </row>
    <row r="19" spans="1:5">
      <c r="A19" s="47"/>
      <c r="B19" s="48"/>
      <c r="D19" s="47"/>
      <c r="E19" s="48"/>
    </row>
    <row r="20" spans="1:5" ht="94.5" customHeight="1">
      <c r="A20" s="49"/>
      <c r="B20" s="50"/>
      <c r="D20" s="49"/>
      <c r="E20" s="50"/>
    </row>
    <row r="21" spans="1:5" ht="15.75" customHeight="1">
      <c r="A21" s="12"/>
      <c r="B21" s="12"/>
      <c r="D21" s="12"/>
      <c r="E21" s="12"/>
    </row>
    <row r="22" spans="1:5" ht="24" customHeight="1">
      <c r="A22" s="32" t="s">
        <v>161</v>
      </c>
      <c r="B22" s="21"/>
      <c r="C22" s="21"/>
      <c r="D22" s="21"/>
      <c r="E22" s="22"/>
    </row>
    <row r="23" spans="1:5" ht="72" customHeight="1">
      <c r="A23" s="33" t="s">
        <v>162</v>
      </c>
      <c r="B23" s="34"/>
      <c r="C23" s="34"/>
      <c r="D23" s="34"/>
      <c r="E23" s="35"/>
    </row>
    <row r="24" spans="1:5" ht="15.75" customHeight="1">
      <c r="A24" s="36"/>
      <c r="B24" s="37"/>
      <c r="C24" s="37"/>
      <c r="D24" s="37"/>
      <c r="E24" s="38"/>
    </row>
    <row r="25" spans="1:5" ht="15.75" customHeight="1">
      <c r="A25" s="36"/>
      <c r="B25" s="37"/>
      <c r="C25" s="37"/>
      <c r="D25" s="37"/>
      <c r="E25" s="38"/>
    </row>
    <row r="26" spans="1:5" ht="15.75" customHeight="1">
      <c r="A26" s="39"/>
      <c r="B26" s="40"/>
      <c r="C26" s="40"/>
      <c r="D26" s="40"/>
      <c r="E26" s="41"/>
    </row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2:E22"/>
    <mergeCell ref="A23:E26"/>
    <mergeCell ref="A1:E1"/>
    <mergeCell ref="A14:B14"/>
    <mergeCell ref="D14:E14"/>
    <mergeCell ref="A15:B20"/>
    <mergeCell ref="D15:E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Sprint Backlog</vt:lpstr>
      <vt:lpstr>Control Diario</vt:lpstr>
      <vt:lpstr>Resumen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IMPUS CHILE</cp:lastModifiedBy>
  <dcterms:modified xsi:type="dcterms:W3CDTF">2026-09-22T19:52:54Z</dcterms:modified>
</cp:coreProperties>
</file>