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ea4a7fc31f4b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Backlog" sheetId="1" r:id="R180923b00bed4c72"/>
    <x:sheet xmlns:r="http://schemas.openxmlformats.org/officeDocument/2006/relationships" name="Control Diario" sheetId="2" r:id="R1becd5b19a2c4020"/>
    <x:sheet xmlns:r="http://schemas.openxmlformats.org/officeDocument/2006/relationships" name="Resumen Sprint" sheetId="3" r:id="R411ff7f00db5478b"/>
  </x:sheets>
</x:workbook>
</file>

<file path=xl/sharedStrings.xml><?xml version="1.0" encoding="utf-8"?>
<x:sst xmlns:x="http://schemas.openxmlformats.org/spreadsheetml/2006/main">
  <x:si>
    <x:t xml:space="preserve">Campo</x:t>
  </x:si>
  <x:si>
    <x:t xml:space="preserve">Valor</x:t>
  </x:si>
  <x:si>
    <x:t xml:space="preserve">Sprint</x:t>
  </x:si>
  <x:si>
    <x:t xml:space="preserve">Estado</x:t>
  </x:si>
  <x:si>
    <x:t xml:space="preserve">Fecha de corte</x:t>
  </x:si>
  <x:si>
    <x:t xml:space="preserve">Responsables</x:t>
  </x:si>
  <x:si>
    <x:t xml:space="preserve">Equipo CitaJusta</x:t>
  </x:si>
  <x:si>
    <x:t xml:space="preserve">Observación</x:t>
  </x:si>
  <x:si>
    <x:t xml:space="preserve">PBI / HU</x:t>
  </x:si>
  <x:si>
    <x:t xml:space="preserve">Tarea ID</x:t>
  </x:si>
  <x:si>
    <x:t xml:space="preserve">Tarea / actividad</x:t>
  </x:si>
  <x:si>
    <x:t xml:space="preserve">Tipo</x:t>
  </x:si>
  <x:si>
    <x:t xml:space="preserve">Prioridad</x:t>
  </x:si>
  <x:si>
    <x:t xml:space="preserve">Estimación (h)</x:t>
  </x:si>
  <x:si>
    <x:t xml:space="preserve">Responsable</x:t>
  </x:si>
  <x:si>
    <x:t xml:space="preserve">Dependencias / impedimentos</x:t>
  </x:si>
  <x:si>
    <x:t xml:space="preserve">Criterio de término</x:t>
  </x:si>
  <x:si>
    <x:t xml:space="preserve">Rama / PR</x:t>
  </x:si>
  <x:si>
    <x:t xml:space="preserve">Día consumido</x:t>
  </x:si>
  <x:si>
    <x:t xml:space="preserve">Horas reales</x:t>
  </x:si>
  <x:si>
    <x:t xml:space="preserve">Notas</x:t>
  </x:si>
  <x:si>
    <x:t xml:space="preserve">Tarea</x:t>
  </x:si>
  <x:si>
    <x:t xml:space="preserve">Horas estimadas</x:t>
  </x:si>
  <x:si>
    <x:t xml:space="preserve">Día 1 Cons.</x:t>
  </x:si>
  <x:si>
    <x:t xml:space="preserve">Día 1 Rest.</x:t>
  </x:si>
  <x:si>
    <x:t xml:space="preserve">Día 2 Cons.</x:t>
  </x:si>
  <x:si>
    <x:t xml:space="preserve">Día 2 Rest.</x:t>
  </x:si>
  <x:si>
    <x:t xml:space="preserve">Día 3 Cons.</x:t>
  </x:si>
  <x:si>
    <x:t xml:space="preserve">Día 3 Rest.</x:t>
  </x:si>
  <x:si>
    <x:t xml:space="preserve">Día 4 Cons.</x:t>
  </x:si>
  <x:si>
    <x:t xml:space="preserve">Día 4 Rest.</x:t>
  </x:si>
  <x:si>
    <x:t xml:space="preserve">Día 5 Cons.</x:t>
  </x:si>
  <x:si>
    <x:t xml:space="preserve">Día 5 Rest.</x:t>
  </x:si>
  <x:si>
    <x:t xml:space="preserve">Total consumido</x:t>
  </x:si>
  <x:si>
    <x:t xml:space="preserve">Restante final</x:t>
  </x:si>
  <x:si>
    <x:t xml:space="preserve">Indicador</x:t>
  </x:si>
  <x:si>
    <x:t xml:space="preserve">Tareas</x:t>
  </x:si>
  <x:si>
    <x:t xml:space="preserve">Entregables logrados</x:t>
  </x:si>
  <x:si>
    <x:t xml:space="preserve">Pendientes del Sprint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</x:si>
</x:sst>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1">
    <x:font>
      <x:sz val="11"/>
      <x:color rgb="FF000000"/>
      <x:name val="Carlito"/>
    </x:font>
    <x:font>
      <x:b/>
      <x:sz val="16"/>
      <x:color rgb="FFFFFFFF"/>
      <x:name val="Carlito"/>
    </x:font>
    <x:font>
      <x:sz val="11"/>
      <x:name val="Carlito"/>
    </x:font>
    <x:font>
      <x:b/>
      <x:sz val="15"/>
      <x:color rgb="FFFFFFFF"/>
      <x:name val="Carlito"/>
    </x:font>
    <x:font>
      <x:sz val="11"/>
      <x:color theme="1"/>
      <x:name val="Carlito"/>
    </x:font>
    <x:font>
      <x:b/>
      <x:sz val="11"/>
      <x:color rgb="FF1F1F1F"/>
      <x:name val="Carlito"/>
    </x:font>
    <x:font>
      <x:sz val="11"/>
      <x:color rgb="FF000000"/>
      <x:name val="Carlito"/>
    </x:font>
    <x:font>
      <x:sz val="11"/>
      <x:color theme="1"/>
      <x:name val="Carlito"/>
    </x:font>
    <x:font>
      <x:b/>
      <x:sz val="11"/>
      <x:color theme="1"/>
      <x:name val="Carlito"/>
    </x:font>
    <x:font>
      <x:b/>
      <x:sz val="11"/>
      <x:color rgb="FF000000"/>
      <x:name val="Carlito"/>
    </x:font>
    <x:font>
      <x:sz val="11"/>
      <x:color theme="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theme="9"/>
      </x:patternFill>
    </x:fill>
    <x:fill>
      <x:patternFill patternType="solid">
        <x:fgColor rgb="FFF7F9FB"/>
      </x:patternFill>
    </x:fill>
    <x:fill>
      <x:patternFill patternType="solid">
        <x:fgColor rgb="FFB6D7A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theme="9" tint="0.79998"/>
      </x:patternFill>
    </x:fill>
  </x:fills>
  <x:borders count="15"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bottom style="thin">
        <x:color rgb="FF000000"/>
      </x:bottom>
    </x:border>
    <x:border>
      <x:left style="thin">
        <x:color rgb="FF000000"/>
      </x:left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</x:border>
    <x:border>
      <x:right style="thin">
        <x:color rgb="FF000000"/>
      </x:right>
    </x:border>
    <x:border>
      <x:right style="thin">
        <x:color rgb="FF000000"/>
      </x:right>
      <x:bottom style="thin">
        <x:color rgb="FF000000"/>
      </x:bottom>
    </x:border>
    <x:border>
      <x:top style="thin">
        <x:color rgb="FF000000"/>
      </x:top>
    </x:border>
    <x:border>
      <x:bottom style="thin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</x:borders>
  <x:cellStyleXfs count="1">
    <x:xf numFmtId="0" fontId="0" fillId="0" borderId="0"/>
  </x:cellStyleXfs>
  <x:cellXfs count="54">
    <x:xf numFmtId="0" fontId="0" fillId="0" borderId="0" xfId="0"/>
    <x:xf numFmtId="0" fontId="5" fillId="4" borderId="4" xfId="0" applyFont="1" applyFill="1" applyBorder="1" applyAlignment="1">
      <x:alignment horizontal="center" vertical="center" wrapText="1"/>
    </x:xf>
    <x:xf numFmtId="0" fontId="7" fillId="0" borderId="0" xfId="0" applyFont="1" applyAlignment="1">
      <x:alignment vertical="center"/>
    </x:xf>
    <x:xf numFmtId="0" fontId="4" fillId="0" borderId="4" xfId="0" applyFont="1" applyBorder="1" applyAlignment="1">
      <x:alignment vertical="top" wrapText="1"/>
    </x:xf>
    <x:xf numFmtId="0" fontId="8" fillId="0" borderId="0" xfId="0" applyFont="1" applyAlignment="1">
      <x:alignment horizontal="center" vertical="center" wrapText="1"/>
    </x:xf>
    <x:xf numFmtId="0" fontId="6" fillId="0" borderId="4" xfId="0" applyFont="1" applyBorder="1" applyAlignment="1">
      <x:alignment wrapText="1"/>
    </x:xf>
    <x:xf numFmtId="0" fontId="4" fillId="0" borderId="4" xfId="0" applyFont="1" applyBorder="1" applyAlignment="1">
      <x:alignment horizontal="center" vertical="center" wrapText="1"/>
    </x:xf>
    <x:xf numFmtId="0" fontId="9" fillId="4" borderId="4" xfId="0" applyFont="1" applyFill="1" applyBorder="1" applyAlignment="1">
      <x:alignment wrapText="1"/>
    </x:xf>
    <x:xf numFmtId="0" fontId="9" fillId="4" borderId="4" xfId="0" applyFont="1" applyFill="1" applyBorder="1" applyAlignment="1">
      <x:alignment horizontal="center" vertical="center" wrapText="1"/>
    </x:xf>
    <x:xf numFmtId="0" fontId="4" fillId="0" borderId="4" xfId="0" applyFont="1" applyBorder="1" applyAlignment="1">
      <x:alignment vertical="center" wrapText="1"/>
    </x:xf>
    <x:xf numFmtId="0" fontId="7" fillId="0" borderId="4" xfId="0" applyFont="1" applyBorder="1" applyAlignment="1">
      <x:alignment wrapText="1"/>
    </x:xf>
    <x:xf numFmtId="0" fontId="7" fillId="0" borderId="4" xfId="0" applyFont="1" applyBorder="1" applyAlignment="1">
      <x:alignment horizontal="center" vertical="center" wrapText="1"/>
    </x:xf>
    <x:xf numFmtId="0" fontId="10" fillId="0" borderId="4" xfId="0" applyFont="1" applyBorder="1"/>
    <x:xf numFmtId="164" fontId="6" fillId="0" borderId="4" xfId="0" applyNumberFormat="1" applyFont="1" applyBorder="1" applyAlignment="1">
      <x:alignment wrapText="1"/>
    </x:xf>
    <x:xf numFmtId="0" fontId="6" fillId="0" borderId="0" xfId="0" applyFont="1" applyAlignment="1">
      <x:alignment wrapText="1"/>
    </x:xf>
    <x:xf numFmtId="0" fontId="0" fillId="0" borderId="4" xfId="0" applyBorder="1" applyAlignment="1">
      <x:alignment wrapText="1"/>
    </x:xf>
    <x:xf numFmtId="0" fontId="0" fillId="0" borderId="0" xfId="0" applyAlignment="1">
      <x:alignment wrapText="1"/>
    </x:xf>
    <x:xf numFmtId="0" fontId="1" fillId="2" borderId="1" xfId="0" applyFont="1" applyFill="1" applyBorder="1" applyAlignment="1">
      <x:alignment horizontal="center" vertical="center"/>
    </x:xf>
    <x:xf numFmtId="0" fontId="2" fillId="0" borderId="2" xfId="0" applyFont="1" applyBorder="1"/>
    <x:xf numFmtId="0" fontId="2" fillId="0" borderId="3" xfId="0" applyFont="1" applyBorder="1"/>
    <x:xf numFmtId="0" fontId="4" fillId="3" borderId="1" xfId="0" applyFont="1" applyFill="1" applyBorder="1" applyAlignment="1">
      <x:alignment wrapText="1"/>
    </x:xf>
    <x:xf numFmtId="0" fontId="2" fillId="0" borderId="2" xfId="0" applyFont="1" applyBorder="1" applyAlignment="1">
      <x:alignment wrapText="1"/>
    </x:xf>
    <x:xf numFmtId="0" fontId="2" fillId="0" borderId="3" xfId="0" applyFont="1" applyBorder="1" applyAlignment="1">
      <x:alignment wrapText="1"/>
    </x:xf>
    <x:xf numFmtId="0" fontId="5" fillId="4" borderId="1" xfId="0" applyFont="1" applyFill="1" applyBorder="1" applyAlignment="1">
      <x:alignment horizontal="center" vertical="center" wrapText="1"/>
    </x:xf>
    <x:xf numFmtId="0" fontId="4" fillId="0" borderId="1" xfId="0" applyFont="1" applyBorder="1" applyAlignment="1">
      <x:alignment horizontal="center" vertical="center" wrapText="1"/>
    </x:xf>
    <x:xf numFmtId="0" fontId="0" fillId="0" borderId="1" xfId="0" applyBorder="1" applyAlignment="1">
      <x:alignment wrapText="1"/>
    </x:xf>
    <x:xf numFmtId="0" fontId="3" fillId="2" borderId="1" xfId="0" applyFont="1" applyFill="1" applyBorder="1" applyAlignment="1">
      <x:alignment horizontal="center" vertical="center"/>
    </x:xf>
    <x:xf numFmtId="0" fontId="0" fillId="5" borderId="1" xfId="0" applyFill="1" applyBorder="1" applyAlignment="1">
      <x:alignment wrapText="1"/>
    </x:xf>
    <x:xf numFmtId="0" fontId="1" fillId="2" borderId="0" xfId="0" applyFont="1" applyFill="1" applyAlignment="1">
      <x:alignment horizontal="center"/>
    </x:xf>
    <x:xf numFmtId="0" fontId="0" fillId="0" borderId="0" xfId="0"/>
    <x:xf numFmtId="0" fontId="9" fillId="6" borderId="1" xfId="0" applyFont="1" applyFill="1" applyBorder="1" applyAlignment="1">
      <x:alignment vertical="center" wrapText="1"/>
    </x:xf>
    <x:xf numFmtId="0" fontId="9" fillId="5" borderId="1" xfId="0" applyFont="1" applyFill="1" applyBorder="1" applyAlignment="1">
      <x:alignment horizontal="center" vertical="center" wrapText="1"/>
    </x:xf>
    <x:xf numFmtId="0" fontId="0" fillId="0" borderId="6" xfId="0" applyBorder="1" applyAlignment="1">
      <x:alignment vertical="center" wrapText="1"/>
    </x:xf>
    <x:xf numFmtId="0" fontId="2" fillId="0" borderId="7" xfId="0" applyFont="1" applyBorder="1" applyAlignment="1">
      <x:alignment wrapText="1"/>
    </x:xf>
    <x:xf numFmtId="0" fontId="2" fillId="0" borderId="8" xfId="0" applyFont="1" applyBorder="1"/>
    <x:xf numFmtId="0" fontId="2" fillId="0" borderId="9" xfId="0" applyFont="1" applyBorder="1"/>
    <x:xf numFmtId="0" fontId="2" fillId="0" borderId="5" xfId="0" applyFont="1" applyBorder="1"/>
    <x:xf numFmtId="0" fontId="2" fillId="0" borderId="10" xfId="0" applyFont="1" applyBorder="1"/>
    <x:xf numFmtId="0" fontId="0" fillId="0" borderId="6" xfId="0" applyBorder="1" applyAlignment="1">
      <x:alignment horizontal="center" vertical="center" wrapText="1"/>
    </x:xf>
    <x:xf numFmtId="0" fontId="9" fillId="6" borderId="1" xfId="0" applyFont="1" applyFill="1" applyBorder="1" applyAlignment="1">
      <x:alignment horizontal="center" vertical="center" wrapText="1"/>
    </x:xf>
    <x:xf numFmtId="0" fontId="8" fillId="0" borderId="8" xfId="0" applyFont="1" applyBorder="1" applyAlignment="1">
      <x:alignment horizontal="center" vertical="center" wrapText="1"/>
    </x:xf>
    <x:xf numFmtId="0" fontId="4" fillId="0" borderId="14" xfId="0" applyFont="1" applyBorder="1" applyAlignment="1">
      <x:alignment vertical="top" wrapText="1"/>
    </x:xf>
    <x:xf numFmtId="0" fontId="8" fillId="7" borderId="13" xfId="0" applyFont="1" applyFill="1" applyBorder="1" applyAlignment="1">
      <x:alignment horizontal="center" vertical="center" wrapText="1"/>
    </x:xf>
    <x:xf numFmtId="0" fontId="4" fillId="0" borderId="14" xfId="0" applyFont="1" applyBorder="1" applyAlignment="1">
      <x:alignment horizontal="center" vertical="center" wrapText="1"/>
    </x:xf>
    <x:xf numFmtId="0" fontId="4" fillId="0" borderId="14" xfId="0" applyFont="1" applyBorder="1" applyAlignment="1">
      <x:alignment vertical="center" wrapText="1"/>
    </x:xf>
    <x:xf numFmtId="0" fontId="0" fillId="0" borderId="6" xfId="0" applyBorder="1" applyAlignment="1">
      <x:alignment horizontal="center" vertical="top" wrapText="1"/>
    </x:xf>
    <x:xf numFmtId="0" fontId="0" fillId="0" borderId="11" xfId="0" applyBorder="1" applyAlignment="1">
      <x:alignment horizontal="center" vertical="top" wrapText="1"/>
    </x:xf>
    <x:xf numFmtId="0" fontId="0" fillId="0" borderId="7" xfId="0" applyBorder="1" applyAlignment="1">
      <x:alignment horizontal="center" vertical="top" wrapText="1"/>
    </x:xf>
    <x:xf numFmtId="0" fontId="0" fillId="0" borderId="8" xfId="0" applyBorder="1" applyAlignment="1">
      <x:alignment horizontal="center" vertical="top" wrapText="1"/>
    </x:xf>
    <x:xf numFmtId="0" fontId="0" fillId="0" borderId="0" xfId="0" applyBorder="1" applyAlignment="1">
      <x:alignment horizontal="center" vertical="top" wrapText="1"/>
    </x:xf>
    <x:xf numFmtId="0" fontId="0" fillId="0" borderId="9" xfId="0" applyBorder="1" applyAlignment="1">
      <x:alignment horizontal="center" vertical="top" wrapText="1"/>
    </x:xf>
    <x:xf numFmtId="0" fontId="0" fillId="0" borderId="5" xfId="0" applyBorder="1" applyAlignment="1">
      <x:alignment horizontal="center" vertical="top" wrapText="1"/>
    </x:xf>
    <x:xf numFmtId="0" fontId="0" fillId="0" borderId="12" xfId="0" applyBorder="1" applyAlignment="1">
      <x:alignment horizontal="center" vertical="top" wrapText="1"/>
    </x:xf>
    <x:xf numFmtId="0" fontId="0" fillId="0" borderId="10" xfId="0" applyBorder="1" applyAlignment="1">
      <x:alignment horizontal="center" vertical="top" wrapText="1"/>
    </x:xf>
  </x:cellXfs>
  <x:cellStyles count="1">
    <x:cellStyle name="Normal" xfId="0"/>
  </x:cellStyles>
  <x:dxfs count="9">
    <x:dxf>
      <x:fill>
        <x:patternFill>
          <x:bgColor indexed="64"/>
        </x:patternFill>
      </x:fill>
      <x:border>
        <x:left style="thin">
          <x:color indexed="64"/>
        </x:left>
        <x:right style="thin">
          <x:color indexed="64"/>
        </x:right>
        <x:top/>
        <x:bottom/>
      </x:border>
    </x:dxf>
    <x:dxf>
      <x:border>
        <x:bottom style="thin">
          <x:color indexed="64"/>
        </x:bottom>
      </x:border>
    </x:dxf>
    <x:dxf>
      <x:fill>
        <x:patternFill>
          <x:bgColor indexed="64"/>
        </x:patternFill>
      </x:fill>
      <x:border>
        <x:left style="thin">
          <x:color indexed="64"/>
        </x:left>
        <x:right style="thin">
          <x:color indexed="64"/>
        </x:right>
        <x:top/>
        <x:bottom/>
      </x:border>
    </x:dxf>
    <x:dxf>
      <x:border>
        <x:bottom style="thin">
          <x:color indexed="64"/>
        </x:bottom>
      </x:border>
    </x:dxf>
    <x:dxf>
      <x:fill>
        <x:patternFill>
          <x:bgColor rgb="FFF4CCCC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37ea3e2e674b8e" /><Relationship Type="http://schemas.openxmlformats.org/officeDocument/2006/relationships/theme" Target="/xl/theme/theme1.xml" Id="Rf20581e940164079" /><Relationship Type="http://schemas.openxmlformats.org/officeDocument/2006/relationships/sharedStrings" Target="/xl/sharedStrings.xml" Id="R607e02ea64834c2d" /><Relationship Type="http://schemas.openxmlformats.org/officeDocument/2006/relationships/worksheet" Target="/xl/worksheets/sheet1.xml" Id="R180923b00bed4c72" /><Relationship Type="http://schemas.openxmlformats.org/officeDocument/2006/relationships/worksheet" Target="/xl/worksheets/sheet2.xml" Id="R1becd5b19a2c4020" /><Relationship Type="http://schemas.openxmlformats.org/officeDocument/2006/relationships/worksheet" Target="/xl/worksheets/sheet3.xml" Id="R411ff7f00db5478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ced1a55ac644a19" /></Relationships>
</file>

<file path=xl/drawings/charts/chart1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solidFill>
                  <a:srgbClr val="757575"/>
                </a:solidFill>
                <a:latin typeface="+mn-lt"/>
                <a:ea typeface="+mn-lt"/>
                <a:cs typeface="+mn-lt"/>
              </a:rPr>
              <a:t>Estado de tareas del Sprint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solidFill>
                <a:srgbClr val="757575"/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Tareas</c:v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</a:ln>
          </c:spPr>
          <c:cat>
            <c:strLit>
              <c:ptCount val="0"/>
            </c:strLit>
          </c:cat>
          <c:val>
            <c:numRef>
              <c:f>'Resumen Sprint'!$E$4:$E$6</c:f>
              <c:numCache>
                <c:formatCode>General</c:formatCode>
                <c:ptCount val="3"/>
                <c:pt idx="0">
                  <c:v>6</c:v>
                </c:pt>
                <c:pt idx="1">
                  <c:v>0</c:v>
                </c:pt>
                <c:pt idx="2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9487642"/>
        <c:axId val="1417177405"/>
      </c:barChart>
      <c:catAx>
        <c:axId val="1329487642"/>
        <c:scaling>
          <c:orientation val="minMax"/>
        </c:scaling>
        <c:delete val="0"/>
        <c:axPos val="b"/>
        <c:title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1417177405"/>
        <c:crosses val="autoZero"/>
        <c:lblAlgn val="ctr"/>
        <c:lblOffset val="100"/>
        <c:noMultiLvlLbl val="0"/>
      </c:catAx>
      <c:valAx>
        <c:axId val="1417177405"/>
        <c:scaling>
          <c:orientation val="minMax"/>
        </c:scaling>
        <c:delete val="0"/>
        <c:axPos val="l"/>
        <c:majorGridlines>
          <c:spPr>
            <a:ln xmlns:a="http://schemas.openxmlformats.org/drawingml/2006/main">
              <a:solidFill>
                <a:srgbClr val="B7B7B7"/>
              </a:solidFill>
            </a:ln>
          </c:spPr>
        </c:majorGridlines>
        <c:title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1329487642"/>
        <c:crosses val="autoZero"/>
        <c:crossBetween val="between"/>
      </c:valAx>
    </c:plotArea>
    <c:plotVisOnly val="1"/>
  </c:chart>
</c:chartSpace>
</file>

<file path=xl/drawings/drawing1.xml><?xml version="1.0" encoding="utf-8"?>
<xdr:wsDr xmlns:xdr="http://schemas.openxmlformats.org/drawingml/2006/spreadsheetDrawing">
  <xdr:oneCellAnchor>
    <xdr:from>
      <xdr:col>6</xdr:col>
      <xdr:colOff>800100</xdr:colOff>
      <xdr:row>8</xdr:row>
      <xdr:rowOff>66675</xdr:rowOff>
    </xdr:from>
    <xdr:ext cx="7296150" cy="3619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ed1a55ac644a19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Tabla_1" displayName="Tabla_1" ref="A12:N20" headerRowBorderDxfId="3">
  <x:tableColumns count="14">
    <x:tableColumn id="1" name="PBI / HU"/>
    <x:tableColumn id="2" name="Tarea ID"/>
    <x:tableColumn id="3" name="Tarea / actividad"/>
    <x:tableColumn id="4" name="Tipo"/>
    <x:tableColumn id="5" name="Prioridad"/>
    <x:tableColumn id="6" name="Estimación (h)"/>
    <x:tableColumn id="7" name="Responsable"/>
    <x:tableColumn id="8" name="Estado"/>
    <x:tableColumn id="9" name="Dependencias / impedimentos"/>
    <x:tableColumn id="10" name="Criterio de término"/>
    <x:tableColumn id="11" name="Rama / PR"/>
    <x:tableColumn id="12" name="Día consumido"/>
    <x:tableColumn id="13" name="Horas reales"/>
    <x:tableColumn id="14" name="Notas"/>
  </x:tableColumns>
  <x:tableStyleInfo name="Sprint Backlog-style" showFirstColumn="1" showLastColumn="1" showRowStripes="1" showColumnStripes="0"/>
</x:table>
</file>

<file path=xl/tables/table2.xml><?xml version="1.0" encoding="utf-8"?>
<x:table xmlns:x="http://schemas.openxmlformats.org/spreadsheetml/2006/main" id="2" name="Tabla_2" displayName="Tabla_2" ref="B5:P13" headerRowBorderDxfId="1">
  <x:tableColumns count="15">
    <x:tableColumn id="1" name="Tarea"/>
    <x:tableColumn id="2" name="Horas estimadas"/>
    <x:tableColumn id="3" name="Día 1 Cons."/>
    <x:tableColumn id="4" name="Día 1 Rest."/>
    <x:tableColumn id="5" name="Día 2 Cons."/>
    <x:tableColumn id="6" name="Día 2 Rest."/>
    <x:tableColumn id="7" name="Día 3 Cons."/>
    <x:tableColumn id="8" name="Día 3 Rest."/>
    <x:tableColumn id="9" name="Día 4 Cons."/>
    <x:tableColumn id="10" name="Día 4 Rest."/>
    <x:tableColumn id="11" name="Día 5 Cons."/>
    <x:tableColumn id="12" name="Día 5 Rest."/>
    <x:tableColumn id="13" name="Total consumido"/>
    <x:tableColumn id="14" name="Restante final"/>
    <x:tableColumn id="15" name="Observación"/>
  </x:tableColumns>
  <x:tableStyleInfo name="Control Diario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07398c9befa43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81824a0ffbe4d3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ee4b3f207e8645f9" /></Relationships>
</file>

<file path=xl/worksheets/sheet1.xml><?xml version="1.0" encoding="utf-8"?>
<x:worksheet xmlns:x="http://schemas.openxmlformats.org/spreadsheetml/2006/main">
  <x:sheetFormatPr baseColWidth="10" defaultColWidth="12.625" defaultRowHeight="14.25"/>
  <x:cols>
    <x:col min="1" max="1" width="14" customWidth="1"/>
    <x:col min="2" max="2" width="12" customWidth="1"/>
    <x:col min="3" max="3" width="46" customWidth="1"/>
    <x:col min="4" max="4" width="14" customWidth="1"/>
    <x:col min="5" max="5" width="15.75" customWidth="1"/>
    <x:col min="6" max="6" width="19.5" customWidth="1"/>
    <x:col min="7" max="7" width="21.75" customWidth="1"/>
    <x:col min="8" max="8" width="14" customWidth="1"/>
    <x:col min="9" max="9" width="38" customWidth="1"/>
    <x:col min="10" max="10" width="42" customWidth="1"/>
    <x:col min="11" max="11" width="34" customWidth="1"/>
    <x:col min="12" max="13" width="14" customWidth="1"/>
    <x:col min="14" max="14" width="46" customWidth="1"/>
  </x:cols>
  <x:sheetData>
    <x:row r="1" ht="27.75" customHeight="1">
      <x:c r="A1" s="17" t="str">
        <x:v>CITAJUSTA SPRINT BACKLOG SPRINT 6: REASIGNACIÓN Y OFERTAS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9"/>
    </x:row>
    <x:row r="2" ht="37.5" customHeight="1">
      <x:c r="A2" s="20" t="str">
        <x:v>Versión 1.3 · 20-09-2026 · Sprint 6 con cierre técnico completado. Backend y experiencia Web de ofertas/reasignación implementados y validados; HU-022 queda lista para commit/PR/merge.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2"/>
    </x:row>
    <x:row r="4" ht="15">
      <x:c r="A4" s="1" t="s">
        <x:v>0</x:v>
      </x:c>
      <x:c r="B4" s="23" t="s">
        <x:v>1</x:v>
      </x:c>
      <x:c r="C4" s="18"/>
      <x:c r="D4" s="19"/>
    </x:row>
    <x:row r="5">
      <x:c r="A5" s="3" t="s">
        <x:v>2</x:v>
      </x:c>
      <x:c r="B5" s="24" t="str">
        <x:v>6</x:v>
      </x:c>
      <x:c r="C5" s="18"/>
      <x:c r="D5" s="19"/>
    </x:row>
    <x:row r="6">
      <x:c r="A6" s="3" t="s">
        <x:v>3</x:v>
      </x:c>
      <x:c r="B6" s="24" t="str">
        <x:v>Cerrado técnicamente</x:v>
      </x:c>
      <x:c r="C6" s="18"/>
      <x:c r="D6" s="19"/>
    </x:row>
    <x:row r="7">
      <x:c r="A7" s="3" t="s">
        <x:v>4</x:v>
      </x:c>
      <x:c r="B7" s="24" t="str">
        <x:v>20-09-2026</x:v>
      </x:c>
      <x:c r="C7" s="18"/>
      <x:c r="D7" s="19"/>
    </x:row>
    <x:row r="8">
      <x:c r="A8" s="3" t="s">
        <x:v>5</x:v>
      </x:c>
      <x:c r="B8" s="24" t="s">
        <x:v>6</x:v>
      </x:c>
      <x:c r="C8" s="18"/>
      <x:c r="D8" s="19"/>
    </x:row>
    <x:row r="9">
      <x:c r="A9" s="15" t="s">
        <x:v>7</x:v>
      </x:c>
      <x:c r="B9" s="25" t="str">
        <x:v>Este Sprint Backlog concentra el motor de reasignación y su integración Web. Las ocho tareas planificadas alcanzaron Done con evidencia verificable. La integración a main de HU-022 queda como cierre administrativo posterior al corte; las horas reales no se reconstruyen retrospectivamente.</x:v>
      </x:c>
      <x:c r="C9" s="21"/>
      <x:c r="D9" s="22"/>
      <x:c r="E9" s="16"/>
      <x:c r="F9" s="16"/>
      <x:c r="G9" s="16"/>
      <x:c r="H9" s="16"/>
      <x:c r="I9" s="16"/>
      <x:c r="J9" s="16"/>
      <x:c r="K9" s="16"/>
      <x:c r="L9" s="16"/>
      <x:c r="M9" s="16"/>
      <x:c r="N9" s="16"/>
    </x:row>
    <x:row r="10" ht="22.5" customHeight="1">
      <x:c r="A10" s="4"/>
      <x:c r="B10" s="4"/>
      <x:c r="C10" s="4"/>
      <x:c r="D10" s="4"/>
      <x:c r="E10" s="4"/>
      <x:c r="F10" s="4"/>
      <x:c r="G10" s="4"/>
      <x:c r="H10" s="4"/>
      <x:c r="I10" s="4"/>
      <x:c r="J10" s="4"/>
      <x:c r="K10" s="4"/>
      <x:c r="L10" s="4"/>
      <x:c r="M10" s="4"/>
      <x:c r="N10" s="4"/>
    </x:row>
    <x:row r="11" ht="22.5" customHeight="1">
      <x:c r="A11" s="40"/>
      <x:c r="B11" s="4"/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</x:row>
    <x:row r="12" ht="36" customHeight="1">
      <x:c r="A12" s="42" t="s">
        <x:v>8</x:v>
      </x:c>
      <x:c r="B12" s="42" t="s">
        <x:v>9</x:v>
      </x:c>
      <x:c r="C12" s="42" t="s">
        <x:v>10</x:v>
      </x:c>
      <x:c r="D12" s="42" t="s">
        <x:v>11</x:v>
      </x:c>
      <x:c r="E12" s="42" t="s">
        <x:v>12</x:v>
      </x:c>
      <x:c r="F12" s="42" t="s">
        <x:v>13</x:v>
      </x:c>
      <x:c r="G12" s="42" t="s">
        <x:v>14</x:v>
      </x:c>
      <x:c r="H12" s="42" t="s">
        <x:v>3</x:v>
      </x:c>
      <x:c r="I12" s="42" t="s">
        <x:v>15</x:v>
      </x:c>
      <x:c r="J12" s="42" t="s">
        <x:v>16</x:v>
      </x:c>
      <x:c r="K12" s="42" t="s">
        <x:v>17</x:v>
      </x:c>
      <x:c r="L12" s="42" t="s">
        <x:v>18</x:v>
      </x:c>
      <x:c r="M12" s="42" t="s">
        <x:v>19</x:v>
      </x:c>
      <x:c r="N12" s="42" t="s">
        <x:v>20</x:v>
      </x:c>
    </x:row>
    <x:row r="13" ht="48" customHeight="1">
      <x:c r="A13" s="41" t="str">
        <x:v>HU-009</x:v>
      </x:c>
      <x:c r="B13" s="41" t="str">
        <x:v>S6-T01</x:v>
      </x:c>
      <x:c r="C13" s="41" t="str">
        <x:v>Generar oferta de cupo liberado</x:v>
      </x:c>
      <x:c r="D13" s="41" t="str">
        <x:v>Backend</x:v>
      </x:c>
      <x:c r="E13" s="41" t="str">
        <x:v>Crítica</x:v>
      </x:c>
      <x:c r="F13" s="41"/>
      <x:c r="G13" s="41" t="str">
        <x:v>Equipo CitaJusta</x:v>
      </x:c>
      <x:c r="H13" s="41" t="str">
        <x:v>Done</x:v>
      </x:c>
      <x:c r="I13" s="41" t="str">
        <x:v>HU-006 + HU-007/008</x:v>
      </x:c>
      <x:c r="J13" s="41" t="str">
        <x:v>Oferta compatible creada con ranking/snapshot, TTL y trazabilidad</x:v>
      </x:c>
      <x:c r="K13" s="41" t="str">
        <x:v>feat/reassignment-offers</x:v>
      </x:c>
      <x:c r="L13" s="41"/>
      <x:c r="M13" s="41"/>
      <x:c r="N13" s="41" t="str">
        <x:v>Backend implementado y validado.</x:v>
      </x:c>
    </x:row>
    <x:row r="14" ht="48" customHeight="1">
      <x:c r="A14" s="3" t="str">
        <x:v>HU-010</x:v>
      </x:c>
      <x:c r="B14" s="3" t="str">
        <x:v>S6-T02</x:v>
      </x:c>
      <x:c r="C14" s="3" t="str">
        <x:v>Aceptar una oferta vigente</x:v>
      </x:c>
      <x:c r="D14" s="3" t="str">
        <x:v>Backend</x:v>
      </x:c>
      <x:c r="E14" s="3" t="str">
        <x:v>Crítica</x:v>
      </x:c>
      <x:c r="F14" s="3"/>
      <x:c r="G14" s="3" t="str">
        <x:v>Equipo CitaJusta</x:v>
      </x:c>
      <x:c r="H14" s="3" t="str">
        <x:v>Done</x:v>
      </x:c>
      <x:c r="I14" s="3" t="str">
        <x:v>HU-009</x:v>
      </x:c>
      <x:c r="J14" s="3" t="str">
        <x:v>Aceptación transaccional transfiere la cita y reserva el cupo sin duplicados</x:v>
      </x:c>
      <x:c r="K14" s="3" t="str">
        <x:v>feat/accept-reassignment-offer</x:v>
      </x:c>
      <x:c r="L14" s="3"/>
      <x:c r="M14" s="3"/>
      <x:c r="N14" s="3" t="str">
        <x:v>Aceptación idempotente y concurrente validada.</x:v>
      </x:c>
    </x:row>
    <x:row r="15" ht="48" customHeight="1">
      <x:c r="A15" s="3" t="str">
        <x:v>HU-011</x:v>
      </x:c>
      <x:c r="B15" s="3" t="str">
        <x:v>S6-T03</x:v>
      </x:c>
      <x:c r="C15" s="3" t="str">
        <x:v>Rechazar una oferta y continuar flujo</x:v>
      </x:c>
      <x:c r="D15" s="3" t="str">
        <x:v>Backend</x:v>
      </x:c>
      <x:c r="E15" s="3" t="str">
        <x:v>Alta</x:v>
      </x:c>
      <x:c r="F15" s="3"/>
      <x:c r="G15" s="3" t="str">
        <x:v>Equipo CitaJusta</x:v>
      </x:c>
      <x:c r="H15" s="3" t="str">
        <x:v>Done</x:v>
      </x:c>
      <x:c r="I15" s="3" t="str">
        <x:v>HU-009</x:v>
      </x:c>
      <x:c r="J15" s="3" t="str">
        <x:v>Rechazo deja waitlist activa y permite siguiente oferta o agotamiento</x:v>
      </x:c>
      <x:c r="K15" s="3" t="str">
        <x:v>feat/reject-reassignment-offer</x:v>
      </x:c>
      <x:c r="L15" s="3"/>
      <x:c r="M15" s="3"/>
      <x:c r="N15" s="3" t="str">
        <x:v>Rechazo/continuidad implementados.</x:v>
      </x:c>
    </x:row>
    <x:row r="16" ht="48" customHeight="1">
      <x:c r="A16" s="3" t="str">
        <x:v>HU-016</x:v>
      </x:c>
      <x:c r="B16" s="3" t="str">
        <x:v>S6-T04</x:v>
      </x:c>
      <x:c r="C16" s="3" t="str">
        <x:v>Supervisar una reasignación</x:v>
      </x:c>
      <x:c r="D16" s="3" t="str">
        <x:v>Backend</x:v>
      </x:c>
      <x:c r="E16" s="3" t="str">
        <x:v>Crítica</x:v>
      </x:c>
      <x:c r="F16" s="3"/>
      <x:c r="G16" s="3" t="str">
        <x:v>Equipo CitaJusta</x:v>
      </x:c>
      <x:c r="H16" s="3" t="str">
        <x:v>Done</x:v>
      </x:c>
      <x:c r="I16" s="3" t="str">
        <x:v>HU-009/010/011</x:v>
      </x:c>
      <x:c r="J16" s="3" t="str">
        <x:v>Consulta read-only expone trazabilidad controlada del proceso</x:v>
      </x:c>
      <x:c r="K16" s="3" t="str">
        <x:v>feat/reassignment-supervision</x:v>
      </x:c>
      <x:c r="L16" s="3"/>
      <x:c r="M16" s="3"/>
      <x:c r="N16" s="3" t="str">
        <x:v>Supervisión backend completada.</x:v>
      </x:c>
    </x:row>
    <x:row r="17" ht="48" customHeight="1">
      <x:c r="A17" s="3" t="str">
        <x:v>HU-018</x:v>
      </x:c>
      <x:c r="B17" s="3" t="str">
        <x:v>S6-T05</x:v>
      </x:c>
      <x:c r="C17" s="3" t="str">
        <x:v>Configurar reglas de reasignación</x:v>
      </x:c>
      <x:c r="D17" s="3" t="str">
        <x:v>Backend</x:v>
      </x:c>
      <x:c r="E17" s="3" t="str">
        <x:v>Alta</x:v>
      </x:c>
      <x:c r="F17" s="3"/>
      <x:c r="G17" s="3" t="str">
        <x:v>Equipo CitaJusta</x:v>
      </x:c>
      <x:c r="H17" s="3" t="str">
        <x:v>Done</x:v>
      </x:c>
      <x:c r="I17" s="3" t="str">
        <x:v>HU-009</x:v>
      </x:c>
      <x:c r="J17" s="3" t="str">
        <x:v>Políticas versionadas e inmutables configurables por institución</x:v>
      </x:c>
      <x:c r="K17" s="3" t="str">
        <x:v>feat/reassignment-policy</x:v>
      </x:c>
      <x:c r="L17" s="3"/>
      <x:c r="M17" s="3"/>
      <x:c r="N17" s="3" t="str">
        <x:v>Políticas PRIORITY_THEN_WAITING / WAITING_THEN_PRIORITY implementadas.</x:v>
      </x:c>
    </x:row>
    <x:row r="18" ht="48" customHeight="1">
      <x:c r="A18" s="3" t="str">
        <x:v>HU-021</x:v>
      </x:c>
      <x:c r="B18" s="3" t="str">
        <x:v>S6-T06</x:v>
      </x:c>
      <x:c r="C18" s="3" t="str">
        <x:v>Gestionar lista de espera y preferencias desde la Web</x:v>
      </x:c>
      <x:c r="D18" s="3" t="str">
        <x:v>Frontend / Integración</x:v>
      </x:c>
      <x:c r="E18" s="3" t="str">
        <x:v>Alta</x:v>
      </x:c>
      <x:c r="F18" s="3"/>
      <x:c r="G18" s="3" t="str">
        <x:v>Equipo CitaJusta</x:v>
      </x:c>
      <x:c r="H18" s="3" t="str">
        <x:v>Done</x:v>
      </x:c>
      <x:c r="I18" s="3" t="str">
        <x:v>HU-007/008 + apps/web</x:v>
      </x:c>
      <x:c r="J18" s="3" t="str">
        <x:v>Alta, preferencias, persistencia y retiro funcionan contra API/PostgreSQL real</x:v>
      </x:c>
      <x:c r="K18" s="3" t="str">
        <x:v>feat/web-waitlist · PR #89 · merge c291d17</x:v>
      </x:c>
      <x:c r="L18" s="3"/>
      <x:c r="M18" s="3"/>
      <x:c r="N18" s="3" t="str">
        <x:v>Web 56/56; development/seed 11/11; Waitlist E2E 24/24. Flujo manual completo PASS.</x:v>
      </x:c>
    </x:row>
    <x:row r="19" ht="48" customHeight="1">
      <x:c r="A19" s="3" t="str">
        <x:v>HU-022</x:v>
      </x:c>
      <x:c r="B19" s="3" t="str">
        <x:v>S6-T07</x:v>
      </x:c>
      <x:c r="C19" s="3" t="str">
        <x:v>Gestionar ofertas de reasignación desde la Web</x:v>
      </x:c>
      <x:c r="D19" s="3" t="str">
        <x:v>Frontend / Integración</x:v>
      </x:c>
      <x:c r="E19" s="3" t="str">
        <x:v>Crítica</x:v>
      </x:c>
      <x:c r="F19" s="3"/>
      <x:c r="G19" s="3" t="str">
        <x:v>Equipo CitaJusta</x:v>
      </x:c>
      <x:c r="H19" s="3" t="str">
        <x:v>Done</x:v>
      </x:c>
      <x:c r="I19" s="3" t="str">
        <x:v>HU-009/010/011 + apps/web</x:v>
      </x:c>
      <x:c r="J19" s="3" t="str">
        <x:v>Usuario puede ver oferta real, expiresAt, aceptar/rechazar y observar estado final sin lógica crítica en cliente</x:v>
      </x:c>
      <x:c r="K19" s="3" t="str">
        <x:v>feat/web-reassignment-offers</x:v>
      </x:c>
      <x:c r="L19" s="3"/>
      <x:c r="M19" s="3"/>
      <x:c r="N19" s="3" t="str">
        <x:v>Web /ofertas implementada con GET propio, expiresAt real, aceptación/rechazo y estados finales. Web 71/71; pruebas enfocadas 10/10; E2E reasignaciones 20/20; prueba manual ACCEPT/REJECT/expiración PASS.</x:v>
      </x:c>
    </x:row>
    <x:row r="20" ht="85.5" customHeight="1">
      <x:c r="A20" s="5" t="str">
        <x:v>Técnica</x:v>
      </x:c>
      <x:c r="B20" s="5" t="str">
        <x:v>S6-T08</x:v>
      </x:c>
      <x:c r="C20" s="5" t="str">
        <x:v>Validar flujo Web/API/PostgreSQL de ofertas y reasignación</x:v>
      </x:c>
      <x:c r="D20" s="5" t="str">
        <x:v>Testing / Integración</x:v>
      </x:c>
      <x:c r="E20" s="5" t="str">
        <x:v>Alta</x:v>
      </x:c>
      <x:c r="F20" s="5"/>
      <x:c r="G20" s="5" t="str">
        <x:v>Equipo CitaJusta</x:v>
      </x:c>
      <x:c r="H20" s="5" t="str">
        <x:v>Done</x:v>
      </x:c>
      <x:c r="I20" s="5" t="str">
        <x:v>S6-T07</x:v>
      </x:c>
      <x:c r="J20" s="15" t="str">
        <x:v>Flujo integrado validado con contratos reales, concurrencia y errores controlados</x:v>
      </x:c>
      <x:c r="K20" s="15" t="str">
        <x:v>feat/web-reassignment-offers</x:v>
      </x:c>
      <x:c r="L20" s="15"/>
      <x:c r="M20" s="15"/>
      <x:c r="N20" s="15" t="str">
        <x:v>Validación final completada contra Web + API + PostgreSQL: oferta vencida sin mutación, ACCEPT transfiere la cita existente y REJECT no crea cita. Build API/Web, Prisma validate, check:dev y git diff --check PASS.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B7:D7"/>
    <x:mergeCell ref="B8:D8"/>
    <x:mergeCell ref="B9:D9"/>
    <x:mergeCell ref="A1:N1"/>
    <x:mergeCell ref="A2:N2"/>
    <x:mergeCell ref="B4:D4"/>
    <x:mergeCell ref="B5:D5"/>
    <x:mergeCell ref="B6:D6"/>
  </x:mergeCells>
  <x:conditionalFormatting sqref="H13:H20">
    <x:cfRule type="expression" dxfId="8" priority="1">
      <x:formula>H13="Done"</x:formula>
    </x:cfRule>
    <x:cfRule type="expression" dxfId="7" priority="2">
      <x:formula>H13="Ready"</x:formula>
    </x:cfRule>
    <x:cfRule type="expression" dxfId="6" priority="3">
      <x:formula>H13="En progreso"</x:formula>
    </x:cfRule>
    <x:cfRule type="expression" dxfId="5" priority="4">
      <x:formula>H13="Pendiente"</x:formula>
    </x:cfRule>
    <x:cfRule type="expression" dxfId="4" priority="5">
      <x:formula>H13="Bloqueado"</x:formula>
    </x:cfRule>
  </x:conditionalFormatting>
  <x:dataValidations count="4">
    <x:dataValidation type="list" allowBlank="1" sqref="E13:E20">
      <x:formula1>"Crítica,Alta,Media,Baja"</x:formula1>
    </x:dataValidation>
    <x:dataValidation type="list" allowBlank="1" showDropDown="1" showErrorMessage="1" sqref="D13:D19">
      <x:formula1>"Backend,Testing"</x:formula1>
    </x:dataValidation>
    <x:dataValidation type="list" allowBlank="1" sqref="H13:H20">
      <x:formula1>"Pendiente,En progreso,Bloqueado,Done"</x:formula1>
    </x:dataValidation>
    <x:dataValidation type="custom" allowBlank="1" showDropDown="1" sqref="F13:F20"/>
  </x:dataValidations>
  <x:pageMargins left="0.7" right="0.7" top="0.75" bottom="0.75" header="0.3" footer="0.3"/>
  <x:tableParts count="1">
    <x:tablePart xmlns:r="http://schemas.openxmlformats.org/officeDocument/2006/relationships" r:id="R407398c9befa439d"/>
  </x:tableParts>
</x:worksheet>
</file>

<file path=xl/worksheets/sheet2.xml><?xml version="1.0" encoding="utf-8"?>
<x:worksheet xmlns:x="http://schemas.openxmlformats.org/spreadsheetml/2006/main">
  <x:sheetFormatPr baseColWidth="10" defaultColWidth="12.625" defaultRowHeight="14.25"/>
  <x:cols>
    <x:col min="1" max="2" width="14" customWidth="1"/>
    <x:col min="3" max="3" width="15.625" customWidth="1"/>
    <x:col min="4" max="12" width="13" customWidth="1"/>
    <x:col min="13" max="13" width="15" customWidth="1"/>
    <x:col min="14" max="14" width="17.125" customWidth="1"/>
    <x:col min="15" max="15" width="36" customWidth="1"/>
    <x:col min="16" max="16" width="25.125" customWidth="1"/>
  </x:cols>
  <x:sheetData>
    <x:row r="1" ht="27.75" customHeight="1">
      <x:c r="A1" s="26" t="str">
        <x:v>CONTROL DIARIO SPRINT 6 — REGISTRO REAL DE HORAS / TRABAJO RESTANTE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9"/>
    </x:row>
    <x:row r="2">
      <x:c r="A2" s="27" t="str">
        <x:v>No se reconstruyen horas históricas. S6-T01 a S6-T08 están completadas técnicamente con evidencia verificable. Registrar consumo horario sólo cuando exista evidencia real.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2"/>
    </x:row>
    <x:row r="3" ht="22.5" customHeight="1"/>
    <x:row r="4" ht="22.5" customHeight="1"/>
    <x:row r="5" ht="65.25" customHeight="1">
      <x:c r="A5" s="2"/>
      <x:c r="B5" s="42" t="s">
        <x:v>21</x:v>
      </x:c>
      <x:c r="C5" s="42" t="s">
        <x:v>22</x:v>
      </x:c>
      <x:c r="D5" s="42" t="s">
        <x:v>23</x:v>
      </x:c>
      <x:c r="E5" s="42" t="s">
        <x:v>24</x:v>
      </x:c>
      <x:c r="F5" s="42" t="s">
        <x:v>25</x:v>
      </x:c>
      <x:c r="G5" s="42" t="s">
        <x:v>26</x:v>
      </x:c>
      <x:c r="H5" s="42" t="s">
        <x:v>27</x:v>
      </x:c>
      <x:c r="I5" s="42" t="s">
        <x:v>28</x:v>
      </x:c>
      <x:c r="J5" s="42" t="s">
        <x:v>29</x:v>
      </x:c>
      <x:c r="K5" s="42" t="s">
        <x:v>30</x:v>
      </x:c>
      <x:c r="L5" s="42" t="s">
        <x:v>31</x:v>
      </x:c>
      <x:c r="M5" s="42" t="s">
        <x:v>32</x:v>
      </x:c>
      <x:c r="N5" s="42" t="s">
        <x:v>33</x:v>
      </x:c>
      <x:c r="O5" s="42" t="s">
        <x:v>34</x:v>
      </x:c>
      <x:c r="P5" s="42" t="s">
        <x:v>7</x:v>
      </x:c>
    </x:row>
    <x:row r="6" ht="42.75" customHeight="1">
      <x:c r="A6" s="2"/>
      <x:c r="B6" s="43" t="str">
        <x:v>S6-T01</x:v>
      </x:c>
      <x:c r="C6" s="43"/>
      <x:c r="D6" s="43"/>
      <x:c r="E6" s="43" t="str">
        <x:f t="shared" ref="E6:E13" si="0">IF(C6="","",IF(D6="",C6,MAX(0,C6-D6)))</x:f>
      </x:c>
      <x:c r="F6" s="43"/>
      <x:c r="G6" s="43" t="str">
        <x:f t="shared" ref="G6:G13" si="1">IF(C6="","",IF(F6="",E6,MAX(0,E6-F6)))</x:f>
      </x:c>
      <x:c r="H6" s="43"/>
      <x:c r="I6" s="43" t="str">
        <x:f t="shared" ref="I6:I13" si="2">IF(C6="","",IF(H6="",G6,MAX(0,G6-H6)))</x:f>
      </x:c>
      <x:c r="J6" s="43"/>
      <x:c r="K6" s="43" t="str">
        <x:f t="shared" ref="K6:K13" si="3">IF(C6="","",IF(J6="",I6,MAX(0,I6-J6)))</x:f>
      </x:c>
      <x:c r="L6" s="43"/>
      <x:c r="M6" s="43" t="str">
        <x:f t="shared" ref="M6:M13" si="4">IF(C6="","",IF(L6="",K6,MAX(0,K6-L6)))</x:f>
      </x:c>
      <x:c r="N6" s="44" t="str">
        <x:f t="shared" ref="N6:N13" si="5">IF(C6="","",SUM(D6,F6,H6,J6,L6))</x:f>
      </x:c>
      <x:c r="O6" s="44" t="str">
        <x:f t="shared" ref="O6:O13" si="6">IF(C6="","",MAX(0,C6-N6))</x:f>
      </x:c>
      <x:c r="P6" s="43" t="str">
        <x:v>Tarea completada técnicamente; horas diarias no reconstruidas retrospectivamente.</x:v>
      </x:c>
    </x:row>
    <x:row r="7" ht="48.75" customHeight="1">
      <x:c r="A7" s="2"/>
      <x:c r="B7" s="6" t="str">
        <x:v>S6-T02</x:v>
      </x:c>
      <x:c r="C7" s="6"/>
      <x:c r="D7" s="6"/>
      <x:c r="E7" s="6">
        <x:f t="shared" si="0"/>
      </x:c>
      <x:c r="F7" s="6"/>
      <x:c r="G7" s="6">
        <x:f t="shared" si="1"/>
      </x:c>
      <x:c r="H7" s="6"/>
      <x:c r="I7" s="6">
        <x:f t="shared" si="2"/>
      </x:c>
      <x:c r="J7" s="6"/>
      <x:c r="K7" s="6">
        <x:f t="shared" si="3"/>
      </x:c>
      <x:c r="L7" s="6"/>
      <x:c r="M7" s="6">
        <x:f t="shared" si="4"/>
      </x:c>
      <x:c r="N7" s="9">
        <x:f t="shared" si="5"/>
      </x:c>
      <x:c r="O7" s="9">
        <x:f t="shared" si="6"/>
      </x:c>
      <x:c r="P7" s="6" t="str">
        <x:v>Tarea completada técnicamente; horas diarias no reconstruidas retrospectivamente.</x:v>
      </x:c>
    </x:row>
    <x:row r="8" ht="51" customHeight="1">
      <x:c r="A8" s="2"/>
      <x:c r="B8" s="6" t="str">
        <x:v>S6-T03</x:v>
      </x:c>
      <x:c r="C8" s="6"/>
      <x:c r="D8" s="6"/>
      <x:c r="E8" s="6">
        <x:f t="shared" si="0"/>
      </x:c>
      <x:c r="F8" s="6"/>
      <x:c r="G8" s="6">
        <x:f t="shared" si="1"/>
      </x:c>
      <x:c r="H8" s="6"/>
      <x:c r="I8" s="6">
        <x:f t="shared" si="2"/>
      </x:c>
      <x:c r="J8" s="6"/>
      <x:c r="K8" s="6">
        <x:f t="shared" si="3"/>
      </x:c>
      <x:c r="L8" s="6"/>
      <x:c r="M8" s="6">
        <x:f t="shared" si="4"/>
      </x:c>
      <x:c r="N8" s="9">
        <x:f t="shared" si="5"/>
      </x:c>
      <x:c r="O8" s="9">
        <x:f t="shared" si="6"/>
      </x:c>
      <x:c r="P8" s="6" t="str">
        <x:v>Tarea completada técnicamente; horas diarias no reconstruidas retrospectivamente.</x:v>
      </x:c>
    </x:row>
    <x:row r="9" ht="54" customHeight="1">
      <x:c r="A9" s="2"/>
      <x:c r="B9" s="6" t="str">
        <x:v>S6-T04</x:v>
      </x:c>
      <x:c r="C9" s="6"/>
      <x:c r="D9" s="6"/>
      <x:c r="E9" s="6">
        <x:f t="shared" si="0"/>
      </x:c>
      <x:c r="F9" s="6"/>
      <x:c r="G9" s="6">
        <x:f t="shared" si="1"/>
      </x:c>
      <x:c r="H9" s="6"/>
      <x:c r="I9" s="6">
        <x:f t="shared" si="2"/>
      </x:c>
      <x:c r="J9" s="6"/>
      <x:c r="K9" s="6">
        <x:f t="shared" si="3"/>
      </x:c>
      <x:c r="L9" s="6"/>
      <x:c r="M9" s="6">
        <x:f t="shared" si="4"/>
      </x:c>
      <x:c r="N9" s="9">
        <x:f t="shared" si="5"/>
      </x:c>
      <x:c r="O9" s="9">
        <x:f t="shared" si="6"/>
      </x:c>
      <x:c r="P9" s="6" t="str">
        <x:v>Tarea completada técnicamente; horas diarias no reconstruidas retrospectivamente.</x:v>
      </x:c>
    </x:row>
    <x:row r="10" ht="74.25" customHeight="1">
      <x:c r="A10" s="2"/>
      <x:c r="B10" s="6" t="str">
        <x:v>S6-T05</x:v>
      </x:c>
      <x:c r="C10" s="6"/>
      <x:c r="D10" s="6"/>
      <x:c r="E10" s="6">
        <x:f t="shared" si="0"/>
      </x:c>
      <x:c r="F10" s="6"/>
      <x:c r="G10" s="6">
        <x:f t="shared" si="1"/>
      </x:c>
      <x:c r="H10" s="6"/>
      <x:c r="I10" s="6">
        <x:f t="shared" si="2"/>
      </x:c>
      <x:c r="J10" s="6"/>
      <x:c r="K10" s="6">
        <x:f t="shared" si="3"/>
      </x:c>
      <x:c r="L10" s="6"/>
      <x:c r="M10" s="6">
        <x:f t="shared" si="4"/>
      </x:c>
      <x:c r="N10" s="9">
        <x:f t="shared" si="5"/>
      </x:c>
      <x:c r="O10" s="9">
        <x:f t="shared" si="6"/>
      </x:c>
      <x:c r="P10" s="6" t="str">
        <x:v>Tarea completada técnicamente; horas diarias no reconstruidas retrospectivamente.</x:v>
      </x:c>
    </x:row>
    <x:row r="11" ht="60.75" customHeight="1">
      <x:c r="A11" s="2"/>
      <x:c r="B11" s="6" t="str">
        <x:v>S6-T06</x:v>
      </x:c>
      <x:c r="C11" s="6"/>
      <x:c r="D11" s="6"/>
      <x:c r="E11" s="6">
        <x:f t="shared" si="0"/>
      </x:c>
      <x:c r="F11" s="6"/>
      <x:c r="G11" s="6">
        <x:f t="shared" si="1"/>
      </x:c>
      <x:c r="H11" s="6"/>
      <x:c r="I11" s="6">
        <x:f t="shared" si="2"/>
      </x:c>
      <x:c r="J11" s="6"/>
      <x:c r="K11" s="6">
        <x:f t="shared" si="3"/>
      </x:c>
      <x:c r="L11" s="6"/>
      <x:c r="M11" s="6">
        <x:f t="shared" si="4"/>
      </x:c>
      <x:c r="N11" s="9">
        <x:f t="shared" si="5"/>
      </x:c>
      <x:c r="O11" s="9">
        <x:f t="shared" si="6"/>
      </x:c>
      <x:c r="P11" s="6" t="str">
        <x:v>Tarea completada técnicamente; horas diarias no reconstruidas retrospectivamente.</x:v>
      </x:c>
    </x:row>
    <x:row r="12" ht="66" customHeight="1">
      <x:c r="A12" s="2"/>
      <x:c r="B12" s="6" t="str">
        <x:v>S6-T07</x:v>
      </x:c>
      <x:c r="C12" s="6"/>
      <x:c r="D12" s="6"/>
      <x:c r="E12" s="6">
        <x:f t="shared" si="0"/>
      </x:c>
      <x:c r="F12" s="6"/>
      <x:c r="G12" s="6">
        <x:f t="shared" si="1"/>
      </x:c>
      <x:c r="H12" s="6"/>
      <x:c r="I12" s="6">
        <x:f t="shared" si="2"/>
      </x:c>
      <x:c r="J12" s="6"/>
      <x:c r="K12" s="6">
        <x:f t="shared" si="3"/>
      </x:c>
      <x:c r="L12" s="6"/>
      <x:c r="M12" s="6">
        <x:f t="shared" si="4"/>
      </x:c>
      <x:c r="N12" s="9">
        <x:f t="shared" si="5"/>
      </x:c>
      <x:c r="O12" s="9">
        <x:f t="shared" si="6"/>
      </x:c>
      <x:c r="P12" s="6" t="str">
        <x:v>Tarea completada y validada; horas diarias no reconstruidas retrospectivamente.</x:v>
      </x:c>
    </x:row>
    <x:row r="13" ht="69.75" customHeight="1">
      <x:c r="A13" s="2"/>
      <x:c r="B13" s="6" t="str">
        <x:v>S6-T08</x:v>
      </x:c>
      <x:c r="C13" s="6"/>
      <x:c r="D13" s="6"/>
      <x:c r="E13" s="6">
        <x:f t="shared" si="0"/>
      </x:c>
      <x:c r="F13" s="6"/>
      <x:c r="G13" s="6">
        <x:f t="shared" si="1"/>
      </x:c>
      <x:c r="H13" s="6"/>
      <x:c r="I13" s="6">
        <x:f t="shared" si="2"/>
      </x:c>
      <x:c r="J13" s="6"/>
      <x:c r="K13" s="6">
        <x:f t="shared" si="3"/>
      </x:c>
      <x:c r="L13" s="6"/>
      <x:c r="M13" s="6">
        <x:f t="shared" si="4"/>
      </x:c>
      <x:c r="N13" s="9">
        <x:f t="shared" si="5"/>
      </x:c>
      <x:c r="O13" s="9">
        <x:f t="shared" si="6"/>
      </x:c>
      <x:c r="P13" s="6" t="str">
        <x:v>Validación integrada completada con escenarios reales de expiración, aceptación y rechazo.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P1"/>
    <x:mergeCell ref="A2:P2"/>
  </x:mergeCells>
  <x:dataValidations count="1">
    <x:dataValidation type="custom" allowBlank="1" showDropDown="1" sqref="N6:O13">
      <x:formula1>AND(ISNUMBER(N6),(NOT(OR(NOT(ISERROR(DATEVALUE(N6))), AND(ISNUMBER(N6), LEFT(CELL("format", N6))="D")))))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1824a0ffbe4d3d"/>
  </x:tableParts>
</x:worksheet>
</file>

<file path=xl/worksheets/sheet3.xml><?xml version="1.0" encoding="utf-8"?>
<x:worksheet xmlns:x="http://schemas.openxmlformats.org/spreadsheetml/2006/main">
  <x:sheetFormatPr baseColWidth="10" defaultColWidth="12.625" defaultRowHeight="14.25"/>
  <x:cols>
    <x:col min="1" max="1" width="30" customWidth="1"/>
    <x:col min="2" max="2" width="28.75" customWidth="1"/>
    <x:col min="3" max="3" width="11.75" customWidth="1"/>
    <x:col min="4" max="4" width="26" customWidth="1"/>
    <x:col min="5" max="5" width="18" customWidth="1"/>
    <x:col min="6" max="6" width="8.625" customWidth="1"/>
  </x:cols>
  <x:sheetData>
    <x:row r="1" ht="20.25">
      <x:c r="A1" s="28" t="str">
        <x:v>CITAJUSTA — RESUMEN SPRINT 6: REASIGNACIÓN Y OFERTAS — CIERRE TÉCNICO</x:v>
      </x:c>
      <x:c r="B1" s="29"/>
      <x:c r="C1" s="29"/>
      <x:c r="D1" s="29"/>
      <x:c r="E1" s="29"/>
    </x:row>
    <x:row r="3" ht="15">
      <x:c r="A3" s="7" t="s">
        <x:v>35</x:v>
      </x:c>
      <x:c r="B3" s="7" t="s">
        <x:v>1</x:v>
      </x:c>
      <x:c r="D3" s="8" t="s">
        <x:v>3</x:v>
      </x:c>
      <x:c r="E3" s="8" t="s">
        <x:v>36</x:v>
      </x:c>
    </x:row>
    <x:row r="4">
      <x:c r="A4" s="10" t="str">
        <x:v>Tareas planificadas</x:v>
      </x:c>
      <x:c r="B4" s="10" t="n">
        <x:v>8</x:v>
      </x:c>
      <x:c r="D4" s="11" t="str">
        <x:v>Done</x:v>
      </x:c>
      <x:c r="E4" s="11" t="n">
        <x:f t="shared" ref="E4:E6" si="0">B6</x:f>
        <x:v>8</x:v>
      </x:c>
    </x:row>
    <x:row r="5">
      <x:c r="A5" s="10" t="str">
        <x:v>Estimación horaria</x:v>
      </x:c>
      <x:c r="B5" s="10" t="str">
        <x:v>Pendiente de Planning</x:v>
      </x:c>
      <x:c r="D5" s="11" t="str">
        <x:v>In Progress</x:v>
      </x:c>
      <x:c r="E5" s="11" t="n">
        <x:f t="shared" si="0"/>
        <x:v>0</x:v>
      </x:c>
    </x:row>
    <x:row r="6">
      <x:c r="A6" s="10" t="str">
        <x:v>Tareas Done</x:v>
      </x:c>
      <x:c r="B6" s="10" t="n">
        <x:v>8</x:v>
      </x:c>
      <x:c r="D6" s="11" t="str">
        <x:v>Pendiente</x:v>
      </x:c>
      <x:c r="E6" s="11" t="n">
        <x:f t="shared" si="0"/>
        <x:v>0</x:v>
      </x:c>
    </x:row>
    <x:row r="7">
      <x:c r="A7" s="10" t="str">
        <x:v>Tareas Ready</x:v>
      </x:c>
      <x:c r="B7" s="10" t="n">
        <x:v>0</x:v>
      </x:c>
      <x:c r="D7" s="12" t="str">
        <x:v>Ready</x:v>
      </x:c>
      <x:c r="E7" s="12" t="n">
        <x:v>0</x:v>
      </x:c>
    </x:row>
    <x:row r="8">
      <x:c r="A8" s="10" t="str">
        <x:v>Tareas pendientes</x:v>
      </x:c>
      <x:c r="B8" s="10" t="n">
        <x:v>0</x:v>
      </x:c>
      <x:c r="D8" t="str">
        <x:v>Bloqueado</x:v>
      </x:c>
      <x:c r="E8" t="n">
        <x:v>0</x:v>
      </x:c>
    </x:row>
    <x:row r="9">
      <x:c r="A9" s="10" t="str">
        <x:v>Avance por tareas</x:v>
      </x:c>
      <x:c r="B9" s="13" t="n">
        <x:v>1</x:v>
      </x:c>
    </x:row>
    <x:row r="10" ht="71.25">
      <x:c r="A10" s="10" t="str">
        <x:v>Validación actual</x:v>
      </x:c>
      <x:c r="B10" s="13" t="str">
        <x:v>Web 71/71 · recipient/demo 10/10 · E2E reasignaciones 20/20</x:v>
      </x:c>
    </x:row>
    <x:row r="11" ht="71.25">
      <x:c r="A11" s="10" t="str">
        <x:v>Pruebas actuales</x:v>
      </x:c>
      <x:c r="B11" s="10" t="str">
        <x:v>Web 71/71 · recipient/demo 10/10 · E2E reasignaciones 20/20 · API/Web build · Prisma/check:dev OK</x:v>
      </x:c>
    </x:row>
    <x:row r="14">
      <x:c r="A14" s="30" t="s">
        <x:v>37</x:v>
      </x:c>
      <x:c r="B14" s="19"/>
      <x:c r="D14" s="31" t="s">
        <x:v>38</x:v>
      </x:c>
      <x:c r="E14" s="19"/>
    </x:row>
    <x:row r="15">
      <x:c r="A15" s="32" t="str">
        <x:v>• HU-009/010/011/016/018 backend completadas.
• HU-021 Web de lista de espera/preferencias completada y mergeada por PR #89.
• HU-022 Web de ofertas/reasignación completada técnicamente.
• GET /reassignments/offers/me y ruta /ofertas implementados con aislamiento por destinatario.
• seed:reassignment-demo permite escenarios accept/reject mediante dominio real.
• Validación: Web 71/71, pruebas enfocadas 10/10 y E2E reasignaciones 20/20; prueba manual completa PASS.</x:v>
      </x:c>
      <x:c r="B15" s="33"/>
      <x:c r="C15" s="16"/>
      <x:c r="D15" s="38" t="str">
        <x:v>• Commit, push, PR y merge de feat/web-reassignment-offers.
• Mover HU-022 a Done en GitHub Projects después del merge.
• Continuar con interfaces institucionales del siguiente Sprint.
• Mantener como deuda técnica separada la advertencia de pg en consultas concurrentes.</x:v>
      </x:c>
      <x:c r="E15" s="33"/>
    </x:row>
    <x:row r="16">
      <x:c r="A16" s="34"/>
      <x:c r="B16" s="35"/>
      <x:c r="D16" s="34"/>
      <x:c r="E16" s="35"/>
    </x:row>
    <x:row r="17">
      <x:c r="A17" s="34"/>
      <x:c r="B17" s="35"/>
      <x:c r="D17" s="34"/>
      <x:c r="E17" s="35"/>
    </x:row>
    <x:row r="18">
      <x:c r="A18" s="34"/>
      <x:c r="B18" s="35"/>
      <x:c r="D18" s="34"/>
      <x:c r="E18" s="35"/>
    </x:row>
    <x:row r="19">
      <x:c r="A19" s="34"/>
      <x:c r="B19" s="35"/>
      <x:c r="D19" s="34"/>
      <x:c r="E19" s="35"/>
    </x:row>
    <x:row r="20" ht="94.5" customHeight="1">
      <x:c r="A20" s="36"/>
      <x:c r="B20" s="37"/>
      <x:c r="D20" s="36"/>
      <x:c r="E20" s="37"/>
    </x:row>
    <x:row r="21" ht="15.75" customHeight="1">
      <x:c r="A21" s="14"/>
      <x:c r="B21" s="14"/>
      <x:c r="D21" s="14"/>
      <x:c r="E21" s="14"/>
    </x:row>
    <x:row r="22" ht="24" customHeight="1">
      <x:c r="A22" s="39" t="str">
        <x:v>Evidencia técnica al 20-09-2026</x:v>
      </x:c>
      <x:c r="B22" s="18"/>
      <x:c r="C22" s="18"/>
      <x:c r="D22" s="18"/>
      <x:c r="E22" s="19"/>
    </x:row>
    <x:row r="23" ht="72" customHeight="1">
      <x:c r="A23" s="45" t="str">
        <x:v>Sprint 6 alcanza cierre técnico con 8/8 tareas Done. HU-022 quedó validada automática y manualmente; la rama feat/web-reassignment-offers está lista para integración administrativa a main. Las horas reales no se reconstruyen retrospectivamente.</x:v>
      </x:c>
      <x:c r="B23" s="46"/>
      <x:c r="C23" s="46"/>
      <x:c r="D23" s="46"/>
      <x:c r="E23" s="47"/>
    </x:row>
    <x:row r="24" ht="15.75" customHeight="1">
      <x:c r="A24" s="48"/>
      <x:c r="B24" s="49"/>
      <x:c r="C24" s="49"/>
      <x:c r="D24" s="49"/>
      <x:c r="E24" s="50"/>
    </x:row>
    <x:row r="25" ht="15.75" customHeight="1">
      <x:c r="A25" s="48"/>
      <x:c r="B25" s="49"/>
      <x:c r="C25" s="49"/>
      <x:c r="D25" s="49"/>
      <x:c r="E25" s="50"/>
    </x:row>
    <x:row r="26" ht="15.75" customHeight="1">
      <x:c r="A26" s="51"/>
      <x:c r="B26" s="52"/>
      <x:c r="C26" s="52"/>
      <x:c r="D26" s="52"/>
      <x:c r="E26" s="53"/>
    </x:row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22:E22"/>
    <x:mergeCell ref="A23:E26"/>
    <x:mergeCell ref="A1:E1"/>
    <x:mergeCell ref="A14:B14"/>
    <x:mergeCell ref="D14:E14"/>
    <x:mergeCell ref="A15:B20"/>
    <x:mergeCell ref="D15:E20"/>
  </x:mergeCells>
  <x:pageMargins left="0.7" right="0.7" top="0.75" bottom="0.75" header="0.3" footer="0.3"/>
  <x:drawing xmlns:r="http://schemas.openxmlformats.org/officeDocument/2006/relationships" r:id="Ree4b3f207e8645f9"/>
</x:worksheet>
</file>